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Voitto\Downloads\AvançadoExcel3.0\Exemplos\"/>
    </mc:Choice>
  </mc:AlternateContent>
  <xr:revisionPtr revIDLastSave="0" documentId="13_ncr:1_{C2E552FE-7F8D-4460-AAB1-A2AC15E402FB}" xr6:coauthVersionLast="43" xr6:coauthVersionMax="43" xr10:uidLastSave="{00000000-0000-0000-0000-000000000000}"/>
  <bookViews>
    <workbookView xWindow="-120" yWindow="-120" windowWidth="20730" windowHeight="11310" xr2:uid="{00000000-000D-0000-FFFF-FFFF00000000}"/>
  </bookViews>
  <sheets>
    <sheet name="Empresa C" sheetId="1" r:id="rId1"/>
    <sheet name="CRM" sheetId="2" r:id="rId2"/>
    <sheet name="Vôos" sheetId="4" r:id="rId3"/>
  </sheets>
  <definedNames>
    <definedName name="_xlnm._FilterDatabase" localSheetId="2" hidden="1">Vôos!$B$5:$H$131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1" i="1" l="1"/>
  <c r="G31" i="1" s="1"/>
  <c r="E30" i="1"/>
  <c r="G30" i="1" s="1"/>
  <c r="E29" i="1"/>
  <c r="G29" i="1" s="1"/>
  <c r="E28" i="1"/>
  <c r="G28" i="1" s="1"/>
  <c r="E27" i="1"/>
  <c r="G27" i="1" s="1"/>
  <c r="E26" i="1"/>
  <c r="G26" i="1" s="1"/>
  <c r="E25" i="1"/>
  <c r="G25" i="1" s="1"/>
  <c r="E24" i="1"/>
  <c r="G24" i="1" s="1"/>
  <c r="I24" i="1" s="1"/>
  <c r="E23" i="1"/>
  <c r="G23" i="1" s="1"/>
  <c r="I23" i="1" s="1"/>
  <c r="E22" i="1"/>
  <c r="G22" i="1" s="1"/>
  <c r="I22" i="1" s="1"/>
  <c r="E21" i="1"/>
  <c r="G21" i="1" s="1"/>
  <c r="I21" i="1" s="1"/>
  <c r="E20" i="1"/>
  <c r="G20" i="1" s="1"/>
  <c r="I20" i="1" s="1"/>
  <c r="E19" i="1"/>
  <c r="G19" i="1" s="1"/>
  <c r="I19" i="1" s="1"/>
  <c r="E18" i="1"/>
  <c r="G18" i="1" s="1"/>
  <c r="I18" i="1" s="1"/>
  <c r="E17" i="1"/>
  <c r="G17" i="1" s="1"/>
  <c r="I17" i="1" s="1"/>
  <c r="E16" i="1"/>
  <c r="G16" i="1" s="1"/>
  <c r="I16" i="1" s="1"/>
  <c r="E15" i="1"/>
  <c r="G15" i="1" s="1"/>
  <c r="I15" i="1" s="1"/>
  <c r="E14" i="1"/>
  <c r="G14" i="1" s="1"/>
  <c r="I14" i="1" s="1"/>
  <c r="E13" i="1"/>
  <c r="G13" i="1" s="1"/>
  <c r="I13" i="1" s="1"/>
  <c r="E12" i="1"/>
  <c r="G12" i="1" s="1"/>
  <c r="I12" i="1" s="1"/>
  <c r="E11" i="1"/>
  <c r="G11" i="1" s="1"/>
  <c r="I11" i="1" s="1"/>
  <c r="E10" i="1"/>
  <c r="G10" i="1" s="1"/>
  <c r="I10" i="1" s="1"/>
  <c r="E9" i="1"/>
  <c r="G9" i="1" s="1"/>
  <c r="I9" i="1" s="1"/>
  <c r="E8" i="1"/>
  <c r="G8" i="1" s="1"/>
  <c r="I8" i="1" s="1"/>
  <c r="E7" i="1"/>
  <c r="G7" i="1" s="1"/>
  <c r="I7" i="1" s="1"/>
  <c r="H28" i="1" l="1"/>
  <c r="I28" i="1" s="1"/>
  <c r="H25" i="1"/>
  <c r="I25" i="1" s="1"/>
  <c r="H29" i="1"/>
  <c r="I29" i="1" s="1"/>
  <c r="H26" i="1"/>
  <c r="I26" i="1" s="1"/>
  <c r="H30" i="1"/>
  <c r="I30" i="1" s="1"/>
  <c r="H27" i="1"/>
  <c r="I27" i="1" s="1"/>
  <c r="H31" i="1"/>
  <c r="I31" i="1" s="1"/>
</calcChain>
</file>

<file path=xl/sharedStrings.xml><?xml version="1.0" encoding="utf-8"?>
<sst xmlns="http://schemas.openxmlformats.org/spreadsheetml/2006/main" count="577" uniqueCount="306">
  <si>
    <t>Funcionário</t>
  </si>
  <si>
    <t>Horas Trab.</t>
  </si>
  <si>
    <t>Horas Extras</t>
  </si>
  <si>
    <t>Sal. Base/h</t>
  </si>
  <si>
    <t>Sal. Bruto</t>
  </si>
  <si>
    <t>Ad. Noturno</t>
  </si>
  <si>
    <t>Sal. Líq.</t>
  </si>
  <si>
    <t>DIURNO</t>
  </si>
  <si>
    <t>Paulo</t>
  </si>
  <si>
    <t>-</t>
  </si>
  <si>
    <t>Salário Líquido</t>
  </si>
  <si>
    <t>Antônio</t>
  </si>
  <si>
    <t>Soma</t>
  </si>
  <si>
    <t>Roberto</t>
  </si>
  <si>
    <t>Média</t>
  </si>
  <si>
    <t>Francisco</t>
  </si>
  <si>
    <t>Máximo</t>
  </si>
  <si>
    <t>Andréa Cramer</t>
  </si>
  <si>
    <t>Mínimo</t>
  </si>
  <si>
    <t>Adriana</t>
  </si>
  <si>
    <t>Flávia</t>
  </si>
  <si>
    <t>Salário Base</t>
  </si>
  <si>
    <t>Marcelo</t>
  </si>
  <si>
    <t>Carlos</t>
  </si>
  <si>
    <t>Eduardo</t>
  </si>
  <si>
    <t>Roberta</t>
  </si>
  <si>
    <t>Paulo Moos</t>
  </si>
  <si>
    <t>Bernadete</t>
  </si>
  <si>
    <t>Horas Trabalhadas</t>
  </si>
  <si>
    <t>Maiara</t>
  </si>
  <si>
    <t>Pesquisa:</t>
  </si>
  <si>
    <t>Fernanda</t>
  </si>
  <si>
    <t>Andréa</t>
  </si>
  <si>
    <t>Adolfo</t>
  </si>
  <si>
    <t>Guilherme</t>
  </si>
  <si>
    <t>NOTURNO</t>
  </si>
  <si>
    <t>Fredegundo</t>
  </si>
  <si>
    <t>Pimentel</t>
  </si>
  <si>
    <t>Jussara</t>
  </si>
  <si>
    <t>André</t>
  </si>
  <si>
    <t>João</t>
  </si>
  <si>
    <t>Pedro</t>
  </si>
  <si>
    <t>Index</t>
  </si>
  <si>
    <t>Alda Carvalho,5515539,Morumbi,180</t>
  </si>
  <si>
    <t>Alexandre Ramos,2325393,Jardins,130</t>
  </si>
  <si>
    <t>Anderson Valdez,2116555,Morumbi,190</t>
  </si>
  <si>
    <t>André Sampaio,3152252,Jardins,180</t>
  </si>
  <si>
    <t>Armando Mococa,2563769,Jardins,295</t>
  </si>
  <si>
    <t>Camila Correia,3566761,Higienópolis,270</t>
  </si>
  <si>
    <t>Carolina Campos,5515561,Morumbi,230</t>
  </si>
  <si>
    <t>Cassio Parolino,2555637,Morumbi,130</t>
  </si>
  <si>
    <t>Cristina Sousa,5613133,Jardins,190</t>
  </si>
  <si>
    <t>Daniel Dantas,2575911,Higienópolis,295</t>
  </si>
  <si>
    <t>Daniela Roger,3755566,Higienópolis,280</t>
  </si>
  <si>
    <t>Daniela Romero,9559371,Higienópolis,180</t>
  </si>
  <si>
    <t>Diogo Faustini,5533621,Morumbi,270</t>
  </si>
  <si>
    <t>Edgar Filho,5313913,Higienópolis,270</t>
  </si>
  <si>
    <t>Eduardo Nascimento,9569535,Jardins,230</t>
  </si>
  <si>
    <t>Elizabeth Monteiro,4656213,Higienópolis,150</t>
  </si>
  <si>
    <t>Eric Strauss,3755325,Jardins,190</t>
  </si>
  <si>
    <t>Erica Annunziato,2323255,Morumbi,230</t>
  </si>
  <si>
    <t>Fabiana Rangel,5615773,Morumbi,190</t>
  </si>
  <si>
    <t>Fabiano Bruno,3153216,Jardins,190</t>
  </si>
  <si>
    <t>Fabio Padilha,3315593,Higienópolis,280</t>
  </si>
  <si>
    <t>Fabio Ruares,3526569,Jardins,150</t>
  </si>
  <si>
    <t>Felipe Alves,3506575,Morumbi,130</t>
  </si>
  <si>
    <t>Felipe Guedes,3352373,Jardins,190</t>
  </si>
  <si>
    <t>Fernando Mauro,5752625,Morumbi,190</t>
  </si>
  <si>
    <t>Gilberto Moreira,3557112,Higienópolis,180</t>
  </si>
  <si>
    <t>Giuliana Almeida,5502155,Higienópolis,295</t>
  </si>
  <si>
    <t>Glauco Pereira,9375565,Jardins,190</t>
  </si>
  <si>
    <t>Graziela Mendes,2365597,Higienópolis,270</t>
  </si>
  <si>
    <t>Guilherme Pelego,5303353,Morumbi,230</t>
  </si>
  <si>
    <t>Helena Dias,2116611,Jardins,295</t>
  </si>
  <si>
    <t>Humberto Lopes,3526010,Morumbi,130</t>
  </si>
  <si>
    <t>Iracema Mota,2620031,Higienópolis,230</t>
  </si>
  <si>
    <t>Ivone Matos,5255073,Jardins,180</t>
  </si>
  <si>
    <t>Joaquim Maia,9379537,Higienópolis,180</t>
  </si>
  <si>
    <t>Jorge Bacelar,7552133,Morumbi,270</t>
  </si>
  <si>
    <t>Juan Pablo,5563521,Jardins,130</t>
  </si>
  <si>
    <t>Juliana Antunes,3553721,Higienópolis,180</t>
  </si>
  <si>
    <t>Karina Bejaran,5573777,Morumbi,150</t>
  </si>
  <si>
    <t>Laurie Chevallaz,9551921,Morumbi,190</t>
  </si>
  <si>
    <t>Leandro Gomes,9551997,Higienópolis,280</t>
  </si>
  <si>
    <t>Leonardo Nascimento,3230900,Jardins,270</t>
  </si>
  <si>
    <t>Luciana Freitas,3569353,Higienópolis,270</t>
  </si>
  <si>
    <t>Luis Alves,2593700,Higienópolis,280</t>
  </si>
  <si>
    <t>Luis Gustavo Ferreira,5576015,Morumbi,280</t>
  </si>
  <si>
    <t>Manuela Moura,5561572,Morumbi,180</t>
  </si>
  <si>
    <t>Marcos Maciel,3575693,Higienópolis,230</t>
  </si>
  <si>
    <t>Maria Cristina Montans,3252755,Jardins,180</t>
  </si>
  <si>
    <t>Mariana Dalla,2577703,Morumbi,150</t>
  </si>
  <si>
    <t>Maridalva Veiga,5215512,Higienópolis,130</t>
  </si>
  <si>
    <t>Melanie Almeida,9755300,Morumbi,295</t>
  </si>
  <si>
    <t>Milena Rizzo,3521696,Higienópolis,190</t>
  </si>
  <si>
    <t>Otavio Almeida,3591573,Higienópolis,190</t>
  </si>
  <si>
    <t>Paula Joaquim,5125565,Morumbi,190</t>
  </si>
  <si>
    <t>Regina Ferreira,3529700,Morumbi,150</t>
  </si>
  <si>
    <t>Ricardo Medeiros,9957632,Jardins,295</t>
  </si>
  <si>
    <t>Roberto Cascolari,3551553,Jardins,280</t>
  </si>
  <si>
    <t>Rodrigo Rocha,3539505,Higienópolis,190</t>
  </si>
  <si>
    <t>Rogério Oliveira,3355325,Jardins,180</t>
  </si>
  <si>
    <t>Sérgio Nogueira,2571530,Jardins,150</t>
  </si>
  <si>
    <t>Silvia Lanzelotti,3557732,Morumbi,270</t>
  </si>
  <si>
    <t>Valdinei Pires,3571255,Higienópolis,180</t>
  </si>
  <si>
    <t>Valeria Venâncio,9375512,Jardins,180</t>
  </si>
  <si>
    <t>Valquiria Sampaio,2126395,Jardins,190</t>
  </si>
  <si>
    <t>Zuleide Amaral,9637003,Higienópolis,130</t>
  </si>
  <si>
    <t>Igor Cabral,9379537,Morumbi,180</t>
  </si>
  <si>
    <t>Ruth Loans,7552133,Jardins,130</t>
  </si>
  <si>
    <t>Paula Godoy,5639521,Morumbi,190</t>
  </si>
  <si>
    <t>Adriana Tobias,3553721,Jardins,180</t>
  </si>
  <si>
    <t>Adriano Vallin,5573777,Jardins,295</t>
  </si>
  <si>
    <t>Rita Franco,9551921,Higienópolis,270</t>
  </si>
  <si>
    <t>Ana Carolina Carvalho,9551997,Morumbi,230</t>
  </si>
  <si>
    <t>André Pascoa,3230900,Morumbi,180</t>
  </si>
  <si>
    <t>Tiago Camargo,3569353,Jardins,190</t>
  </si>
  <si>
    <t>Armando Abad,2593700,Higienópolis,295</t>
  </si>
  <si>
    <t>Bianca Giordani,5576015,Higienópolis,130</t>
  </si>
  <si>
    <t>Bruno Sérgio,5561572,Higienópolis,180</t>
  </si>
  <si>
    <t>Caio Brisola,3575693,Morumbi,270</t>
  </si>
  <si>
    <t>Camila Vaccaro,3252755,Higienópolis,270</t>
  </si>
  <si>
    <t>Carolina Zoppi,2577703,Jardins,230</t>
  </si>
  <si>
    <t>Rogério Hunt,5215512,Higienópolis,150</t>
  </si>
  <si>
    <t>Cássio Brisola,9755300,Jardins,190</t>
  </si>
  <si>
    <t>Cláudia Moura,3521696,Morumbi,230</t>
  </si>
  <si>
    <t>Paulo Samara,3591573,Morumbi,190</t>
  </si>
  <si>
    <t>Débora Cunha,5525565,Jardins,190</t>
  </si>
  <si>
    <t>Camila Tilhano,3529700,Higienópolis,280</t>
  </si>
  <si>
    <t>Flávia Souza,9537632,Jardins,150</t>
  </si>
  <si>
    <t>Flávio Porta,3551553,Morumbi,180</t>
  </si>
  <si>
    <t>Carolina Florisa,3539505,Jardins,190</t>
  </si>
  <si>
    <t>Gúbio Ottawa,3355325,Morumbi,280</t>
  </si>
  <si>
    <t>Gustavo Rosa,2571530,Higienópolis,180</t>
  </si>
  <si>
    <t>Joana Finai,3557732,Higienópolis,295</t>
  </si>
  <si>
    <t>João Lima,3571255,Jardins,190</t>
  </si>
  <si>
    <t>José Paulo Motta,9375512,Higienópolis,270</t>
  </si>
  <si>
    <t>Luciana Sambo,2126395,Morumbi,230</t>
  </si>
  <si>
    <t>Luciano Abad,9637003,Jardins,295</t>
  </si>
  <si>
    <t>Márcio Okawa,2126395,Morumbi,190</t>
  </si>
  <si>
    <t>Mariana Brandão,9637003,Higienópolis,230</t>
  </si>
  <si>
    <t>Mariana Castro,9379537,Jardins,180</t>
  </si>
  <si>
    <t>Murilo Cunha,7552133,Higienópolis,180</t>
  </si>
  <si>
    <t>Ricardo Almeida,5639521,Morumbi,270</t>
  </si>
  <si>
    <t>Paulo Paduan,3553721,Jardins,270</t>
  </si>
  <si>
    <t>Plínio Cunha,5573777,Higienópolis,130</t>
  </si>
  <si>
    <t>Gustavo Giustti,9551921,Morumbi,150</t>
  </si>
  <si>
    <t>Rodrigo Camargo,9551997,Morumbi,190</t>
  </si>
  <si>
    <t>Gonçalo Mata,3230900,Higienópolis,230</t>
  </si>
  <si>
    <t>Rodrigo Parisi,3569353,Jardins,190</t>
  </si>
  <si>
    <t>Bon Jovi,2593700,Higienópolis,190</t>
  </si>
  <si>
    <t>Thaís Poli,5576015,Higienópolis,280</t>
  </si>
  <si>
    <t>Thiago Couto,5561572,Morumbi,150</t>
  </si>
  <si>
    <t>César Machado,3575693,Morumbi,180</t>
  </si>
  <si>
    <t>Sílvia Masciolli,3252755,Higienópolis,230</t>
  </si>
  <si>
    <t>Vivian Paixão,2577703,Higienópolis,280</t>
  </si>
  <si>
    <t>João Sifil,5215512,Morumbi,180</t>
  </si>
  <si>
    <t>Nome</t>
  </si>
  <si>
    <t>Telefone</t>
  </si>
  <si>
    <t>Bairro</t>
  </si>
  <si>
    <t>Número</t>
  </si>
  <si>
    <t>Alda Carvalho</t>
  </si>
  <si>
    <t>Nomes</t>
  </si>
  <si>
    <t>Local de Destino</t>
  </si>
  <si>
    <t>Aeroporto de Partida</t>
  </si>
  <si>
    <t>Preço da Passagem (bruto)</t>
  </si>
  <si>
    <t>Desconto</t>
  </si>
  <si>
    <t>Preço a Ser Pago</t>
  </si>
  <si>
    <t>Henrico Chaves</t>
  </si>
  <si>
    <t>PRESIDENTE PRUDENTE</t>
  </si>
  <si>
    <t>Congonhas</t>
  </si>
  <si>
    <t>Edgar Filho</t>
  </si>
  <si>
    <t>Guarulhos</t>
  </si>
  <si>
    <t>Carlos Roberto</t>
  </si>
  <si>
    <t>RECIFE</t>
  </si>
  <si>
    <t>Victoria Zisck</t>
  </si>
  <si>
    <t>Paulo Sabrossa</t>
  </si>
  <si>
    <t>CURITIBA</t>
  </si>
  <si>
    <t>Armando Abad</t>
  </si>
  <si>
    <t>Adriana Spazzin</t>
  </si>
  <si>
    <t>Adriana Tobias</t>
  </si>
  <si>
    <t>RJ</t>
  </si>
  <si>
    <t>Márcio Antonio</t>
  </si>
  <si>
    <t>Luis Gustavo Silva</t>
  </si>
  <si>
    <t>Marcela Trotti</t>
  </si>
  <si>
    <t>Valdinei Pires</t>
  </si>
  <si>
    <t>Ricardo Medeiros</t>
  </si>
  <si>
    <t>Camila Correia</t>
  </si>
  <si>
    <t>Jair Noti</t>
  </si>
  <si>
    <t>Martin Fonseca</t>
  </si>
  <si>
    <t>Glauco Pereira</t>
  </si>
  <si>
    <t>Sabrina Gregi</t>
  </si>
  <si>
    <t>Juan Pablo</t>
  </si>
  <si>
    <t>CANCUN</t>
  </si>
  <si>
    <t>Fabiana Rangel</t>
  </si>
  <si>
    <t>Cristina Sousa</t>
  </si>
  <si>
    <t>Carolina Florisa</t>
  </si>
  <si>
    <t>Iracema Mota</t>
  </si>
  <si>
    <t>Gustavo Rosa</t>
  </si>
  <si>
    <t>Patrícia Dias</t>
  </si>
  <si>
    <t>Luciana Freitas</t>
  </si>
  <si>
    <t>Sérgio Nogueira</t>
  </si>
  <si>
    <t>André Pascoa</t>
  </si>
  <si>
    <t>Erica Annunziato</t>
  </si>
  <si>
    <t>João Sifil</t>
  </si>
  <si>
    <t>Bon Jovi</t>
  </si>
  <si>
    <t>Alexandre Ramos</t>
  </si>
  <si>
    <t>Carolina Zoppi</t>
  </si>
  <si>
    <t>Camila Tilhano</t>
  </si>
  <si>
    <t>Bianca Giordani</t>
  </si>
  <si>
    <t>Manuela Moura</t>
  </si>
  <si>
    <t>Mariana Dalla</t>
  </si>
  <si>
    <t>Daniela Roger</t>
  </si>
  <si>
    <t>Gonçalo Mata</t>
  </si>
  <si>
    <t>Felipe Guedes</t>
  </si>
  <si>
    <t>Igor Cabral</t>
  </si>
  <si>
    <t>Graziela Mendes</t>
  </si>
  <si>
    <t>Elizabeth Monteiro</t>
  </si>
  <si>
    <t>Leonardo Nascimento</t>
  </si>
  <si>
    <t>Luis Carlos Garcia</t>
  </si>
  <si>
    <t>Débora Cunha</t>
  </si>
  <si>
    <t>Gúbio Ottawa</t>
  </si>
  <si>
    <t>Paula Godoy</t>
  </si>
  <si>
    <t>Felipe Alves</t>
  </si>
  <si>
    <t>Milena Rizzo</t>
  </si>
  <si>
    <t>Cassio Parolino</t>
  </si>
  <si>
    <t>Mariana Brandão</t>
  </si>
  <si>
    <t>Rodrigo Rocha</t>
  </si>
  <si>
    <t>Fernando Mauro</t>
  </si>
  <si>
    <t>Anderson Valdez</t>
  </si>
  <si>
    <t>Armando Mococa</t>
  </si>
  <si>
    <t>João Lima</t>
  </si>
  <si>
    <t>Fabiano Bruno</t>
  </si>
  <si>
    <t>Caio Brisola</t>
  </si>
  <si>
    <t>Paulo Samara</t>
  </si>
  <si>
    <t>André Sampaio</t>
  </si>
  <si>
    <t>Fabio Padilha</t>
  </si>
  <si>
    <t>Giuliana Santos</t>
  </si>
  <si>
    <t>Eduardo Nascimento</t>
  </si>
  <si>
    <t>Ana Carolina Carvalho</t>
  </si>
  <si>
    <t>Ruth Loans</t>
  </si>
  <si>
    <t>José Paulo Motta</t>
  </si>
  <si>
    <t>Flávio Porta</t>
  </si>
  <si>
    <t>Valquiria Sampaio</t>
  </si>
  <si>
    <t>Rodrigo Parisi</t>
  </si>
  <si>
    <t>Valeria Venâncio</t>
  </si>
  <si>
    <t>Gilberto Moreira</t>
  </si>
  <si>
    <t>Cláudia Moura</t>
  </si>
  <si>
    <t>Zuleide Amaral</t>
  </si>
  <si>
    <t>Eric Strauss</t>
  </si>
  <si>
    <t>Thaís Poli</t>
  </si>
  <si>
    <t>Daniel Dantas</t>
  </si>
  <si>
    <t>Bruno Sérgio</t>
  </si>
  <si>
    <t>Humberto Lopes</t>
  </si>
  <si>
    <t>Maria Cristina Montans</t>
  </si>
  <si>
    <t>Rita Franco</t>
  </si>
  <si>
    <t>Diogo Faustini</t>
  </si>
  <si>
    <t>Adriano Vallin</t>
  </si>
  <si>
    <t>Melanie Santos</t>
  </si>
  <si>
    <t>Sílvia Masciolli</t>
  </si>
  <si>
    <t>Camila Vaccaro</t>
  </si>
  <si>
    <t>Karina Bejaran</t>
  </si>
  <si>
    <t>Tiago Camargo</t>
  </si>
  <si>
    <t>Jorge Bacelar</t>
  </si>
  <si>
    <t>Guilherme Pelego</t>
  </si>
  <si>
    <t>Laurie Chevallaz</t>
  </si>
  <si>
    <t>Daniela Romero</t>
  </si>
  <si>
    <t>Murilo Cunha</t>
  </si>
  <si>
    <t>Paulo Paduan</t>
  </si>
  <si>
    <t>Rogério Hunt</t>
  </si>
  <si>
    <t>Otavio Almeida</t>
  </si>
  <si>
    <t>Joaquim Maia</t>
  </si>
  <si>
    <t>Márcio Okawa</t>
  </si>
  <si>
    <t>Plínio Cunha</t>
  </si>
  <si>
    <t>Rogério Oliveira</t>
  </si>
  <si>
    <t>Ricardo Santos</t>
  </si>
  <si>
    <t>Fabio Ruares</t>
  </si>
  <si>
    <t>Maridalva Veiga</t>
  </si>
  <si>
    <t>Flávia Souza</t>
  </si>
  <si>
    <t>Luciana Sambo</t>
  </si>
  <si>
    <t>Marcos Maciel</t>
  </si>
  <si>
    <t>Vivian Paixão</t>
  </si>
  <si>
    <t>Mariana Castro</t>
  </si>
  <si>
    <t>Tatiana Issim</t>
  </si>
  <si>
    <t>Ivone Matos</t>
  </si>
  <si>
    <t>Regina Silva</t>
  </si>
  <si>
    <t>Luciano Abad</t>
  </si>
  <si>
    <t>Gustavo Giustti</t>
  </si>
  <si>
    <t>Roberto Cascolari</t>
  </si>
  <si>
    <t>Rodrigo Camargo</t>
  </si>
  <si>
    <t>Cássio Brisola</t>
  </si>
  <si>
    <t>Leandro Costa</t>
  </si>
  <si>
    <t>Juliana Antunes</t>
  </si>
  <si>
    <t>César Machado</t>
  </si>
  <si>
    <t>Thiago Couto</t>
  </si>
  <si>
    <t>Helena Dias</t>
  </si>
  <si>
    <t>Joana Finai</t>
  </si>
  <si>
    <t>Silvia Lanzelotti</t>
  </si>
  <si>
    <t>Paula Joaquim</t>
  </si>
  <si>
    <t>Carolina Campos</t>
  </si>
  <si>
    <t>Folha de Pagamento da Empresa C INC.</t>
  </si>
  <si>
    <t>Quantidade Vendida</t>
  </si>
  <si>
    <t>Vôos</t>
  </si>
  <si>
    <t>CRM</t>
  </si>
  <si>
    <t>Módulo Avançado</t>
  </si>
  <si>
    <t>Formação Master em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</si>
</sst>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_(&quot;R$&quot;\ * #,##0.00_);_(&quot;R$&quot;\ * \(#,##0.00\);_(&quot;R$&quot;\ * &quot;-&quot;??_);_(@_)"/>
    <numFmt numFmtId="166" formatCode="&quot;$&quot;#,##0;[Red]\-&quot;$&quot;#,##0"/>
    <numFmt numFmtId="167" formatCode="&quot;$&quot;#,##0.00_);[Red]\(&quot;$&quot;#,##0.00\)"/>
    <numFmt numFmtId="168" formatCode="_([$€-2]* #,##0.00_);_([$€-2]* \(#,##0.00\);_([$€-2]* &quot;-&quot;??_)"/>
    <numFmt numFmtId="169" formatCode="_(&quot;R$&quot;* #,##0.00_);_(&quot;R$&quot;* \(#,##0.00\);_(&quot;R$&quot;* &quot;-&quot;??_);_(@_)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8"/>
      <name val="Helv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Segoe UI"/>
      <family val="2"/>
    </font>
    <font>
      <b/>
      <i/>
      <sz val="18"/>
      <color theme="0"/>
      <name val="Segoe UI"/>
      <family val="2"/>
    </font>
    <font>
      <b/>
      <i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37748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4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7" fontId="3" fillId="0" borderId="0" applyFont="0" applyFill="0" applyBorder="0" applyAlignment="0" applyProtection="0"/>
    <xf numFmtId="168" fontId="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37">
    <xf numFmtId="0" fontId="0" fillId="0" borderId="0" xfId="0"/>
    <xf numFmtId="0" fontId="6" fillId="0" borderId="0" xfId="1" applyFont="1" applyAlignment="1">
      <alignment horizontal="center" vertical="center"/>
    </xf>
    <xf numFmtId="164" fontId="6" fillId="0" borderId="0" xfId="1" applyNumberFormat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164" fontId="5" fillId="0" borderId="1" xfId="2" applyFont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7" fillId="3" borderId="1" xfId="1" applyFont="1" applyFill="1" applyBorder="1" applyAlignment="1">
      <alignment horizontal="center" vertical="center"/>
    </xf>
    <xf numFmtId="44" fontId="8" fillId="0" borderId="1" xfId="1" applyNumberFormat="1" applyFont="1" applyBorder="1" applyAlignment="1">
      <alignment horizontal="center" vertical="center"/>
    </xf>
    <xf numFmtId="44" fontId="5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8" fillId="0" borderId="1" xfId="3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0" xfId="0" applyFill="1" applyAlignment="1"/>
    <xf numFmtId="0" fontId="0" fillId="4" borderId="0" xfId="0" applyFill="1"/>
    <xf numFmtId="0" fontId="14" fillId="4" borderId="0" xfId="0" applyFont="1" applyFill="1" applyAlignment="1">
      <alignment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8" fillId="0" borderId="4" xfId="1" applyFont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9" xfId="1" applyFont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 textRotation="90"/>
    </xf>
    <xf numFmtId="0" fontId="2" fillId="2" borderId="1" xfId="1" applyFont="1" applyFill="1" applyBorder="1" applyAlignment="1">
      <alignment horizontal="center" vertical="center"/>
    </xf>
    <xf numFmtId="0" fontId="13" fillId="4" borderId="0" xfId="0" applyFont="1" applyFill="1" applyAlignment="1">
      <alignment horizontal="left"/>
    </xf>
    <xf numFmtId="0" fontId="15" fillId="4" borderId="0" xfId="0" applyFont="1" applyFill="1" applyAlignment="1">
      <alignment horizontal="left"/>
    </xf>
    <xf numFmtId="0" fontId="14" fillId="4" borderId="0" xfId="0" applyFont="1" applyFill="1" applyAlignment="1">
      <alignment horizontal="center" vertical="center"/>
    </xf>
  </cellXfs>
  <cellStyles count="10">
    <cellStyle name="Comma [0]" xfId="4" xr:uid="{00000000-0005-0000-0000-000000000000}"/>
    <cellStyle name="Comma_SOLVER1" xfId="5" xr:uid="{00000000-0005-0000-0000-000001000000}"/>
    <cellStyle name="Currency [0]" xfId="6" xr:uid="{00000000-0005-0000-0000-000002000000}"/>
    <cellStyle name="Currency_SOLVER1" xfId="7" xr:uid="{00000000-0005-0000-0000-000003000000}"/>
    <cellStyle name="Euro" xfId="8" xr:uid="{00000000-0005-0000-0000-000004000000}"/>
    <cellStyle name="Moeda 2" xfId="9" xr:uid="{00000000-0005-0000-0000-000005000000}"/>
    <cellStyle name="Moeda 4" xfId="2" xr:uid="{00000000-0005-0000-0000-000006000000}"/>
    <cellStyle name="Moeda_PROVA2-nova-sol" xfId="3" xr:uid="{00000000-0005-0000-0000-000007000000}"/>
    <cellStyle name="Normal" xfId="0" builtinId="0"/>
    <cellStyle name="Normal 2" xfId="1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33440</xdr:colOff>
      <xdr:row>0</xdr:row>
      <xdr:rowOff>81065</xdr:rowOff>
    </xdr:from>
    <xdr:to>
      <xdr:col>0</xdr:col>
      <xdr:colOff>442630</xdr:colOff>
      <xdr:row>2</xdr:row>
      <xdr:rowOff>166405</xdr:rowOff>
    </xdr:to>
    <xdr:pic>
      <xdr:nvPicPr>
        <xdr:cNvPr id="5" name="Imagem 4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440" y="81065"/>
          <a:ext cx="409190" cy="380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1057833</xdr:colOff>
      <xdr:row>2</xdr:row>
      <xdr:rowOff>142466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9744075" y="0"/>
          <a:ext cx="1057833" cy="4377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52490</xdr:colOff>
      <xdr:row>0</xdr:row>
      <xdr:rowOff>62015</xdr:rowOff>
    </xdr:from>
    <xdr:to>
      <xdr:col>0</xdr:col>
      <xdr:colOff>461680</xdr:colOff>
      <xdr:row>2</xdr:row>
      <xdr:rowOff>76200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0" y="62015"/>
          <a:ext cx="409190" cy="309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505383</xdr:colOff>
      <xdr:row>2</xdr:row>
      <xdr:rowOff>142466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153650" y="0"/>
          <a:ext cx="1057833" cy="4377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52490</xdr:colOff>
      <xdr:row>0</xdr:row>
      <xdr:rowOff>62014</xdr:rowOff>
    </xdr:from>
    <xdr:to>
      <xdr:col>0</xdr:col>
      <xdr:colOff>461680</xdr:colOff>
      <xdr:row>2</xdr:row>
      <xdr:rowOff>104774</xdr:rowOff>
    </xdr:to>
    <xdr:pic>
      <xdr:nvPicPr>
        <xdr:cNvPr id="4" name="Imagem 3" descr="http://pollfix.com/Predictor_150207_00_ForProd/static/images/icons/excel_02.pn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1E7145"/>
            </a:clrFrom>
            <a:clrTo>
              <a:srgbClr val="1E7145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0" y="62014"/>
          <a:ext cx="409190" cy="3380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448233</xdr:colOff>
      <xdr:row>2</xdr:row>
      <xdr:rowOff>142466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160" b="35562"/>
        <a:stretch/>
      </xdr:blipFill>
      <xdr:spPr>
        <a:xfrm>
          <a:off x="10410825" y="0"/>
          <a:ext cx="1057833" cy="4377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Q31"/>
  <sheetViews>
    <sheetView showGridLines="0" tabSelected="1" workbookViewId="0">
      <selection activeCell="L9" sqref="L9"/>
    </sheetView>
  </sheetViews>
  <sheetFormatPr defaultRowHeight="12.75" x14ac:dyDescent="0.25"/>
  <cols>
    <col min="1" max="1" width="7.5703125" style="1" customWidth="1"/>
    <col min="2" max="2" width="3.85546875" style="1" bestFit="1" customWidth="1"/>
    <col min="3" max="3" width="16.140625" style="1" customWidth="1"/>
    <col min="4" max="5" width="15.42578125" style="1" customWidth="1"/>
    <col min="6" max="6" width="13.5703125" style="1" customWidth="1"/>
    <col min="7" max="7" width="16" style="1" customWidth="1"/>
    <col min="8" max="8" width="15.42578125" style="1" customWidth="1"/>
    <col min="9" max="9" width="18.28515625" style="1" customWidth="1"/>
    <col min="10" max="10" width="9.140625" style="1"/>
    <col min="11" max="11" width="15.28515625" style="1" customWidth="1"/>
    <col min="12" max="12" width="17.42578125" style="1" customWidth="1"/>
    <col min="13" max="16384" width="9.140625" style="1"/>
  </cols>
  <sheetData>
    <row r="1" spans="1:17" s="22" customFormat="1" ht="15" customHeight="1" x14ac:dyDescent="0.25">
      <c r="A1" s="21"/>
      <c r="B1" s="34" t="s">
        <v>305</v>
      </c>
      <c r="C1" s="34"/>
      <c r="D1" s="34"/>
      <c r="E1" s="36" t="s">
        <v>301</v>
      </c>
      <c r="F1" s="36"/>
      <c r="G1" s="36"/>
      <c r="H1" s="36"/>
      <c r="I1" s="36"/>
      <c r="J1" s="36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4"/>
      <c r="E2" s="36"/>
      <c r="F2" s="36"/>
      <c r="G2" s="36"/>
      <c r="H2" s="36"/>
      <c r="I2" s="36"/>
      <c r="J2" s="36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5"/>
      <c r="E3" s="36"/>
      <c r="F3" s="36"/>
      <c r="G3" s="36"/>
      <c r="H3" s="36"/>
      <c r="I3" s="36"/>
      <c r="J3" s="36"/>
      <c r="K3" s="23"/>
      <c r="L3" s="23"/>
      <c r="M3" s="23"/>
      <c r="N3" s="23"/>
      <c r="O3" s="23"/>
      <c r="P3" s="23"/>
      <c r="Q3" s="23"/>
    </row>
    <row r="5" spans="1:17" ht="15.75" x14ac:dyDescent="0.25">
      <c r="C5" s="33" t="s">
        <v>300</v>
      </c>
      <c r="D5" s="33"/>
      <c r="E5" s="33"/>
      <c r="F5" s="33"/>
      <c r="G5" s="33"/>
      <c r="H5" s="33"/>
      <c r="I5" s="33"/>
    </row>
    <row r="6" spans="1:17" ht="15.75" x14ac:dyDescent="0.25">
      <c r="C6" s="6" t="s">
        <v>0</v>
      </c>
      <c r="D6" s="6" t="s">
        <v>1</v>
      </c>
      <c r="E6" s="6" t="s">
        <v>2</v>
      </c>
      <c r="F6" s="6" t="s">
        <v>3</v>
      </c>
      <c r="G6" s="6" t="s">
        <v>4</v>
      </c>
      <c r="H6" s="6" t="s">
        <v>5</v>
      </c>
      <c r="I6" s="6" t="s">
        <v>6</v>
      </c>
      <c r="K6" s="24" t="s">
        <v>10</v>
      </c>
      <c r="L6" s="25"/>
    </row>
    <row r="7" spans="1:17" ht="15" x14ac:dyDescent="0.25">
      <c r="B7" s="32" t="s">
        <v>7</v>
      </c>
      <c r="C7" s="5" t="s">
        <v>8</v>
      </c>
      <c r="D7" s="3">
        <v>40</v>
      </c>
      <c r="E7" s="3">
        <f>IF(D7&gt;40,D7-40,)</f>
        <v>0</v>
      </c>
      <c r="F7" s="4">
        <v>12</v>
      </c>
      <c r="G7" s="4">
        <f>F7*(D7-E7)+1.5*F7*E7</f>
        <v>480</v>
      </c>
      <c r="H7" s="4" t="s">
        <v>9</v>
      </c>
      <c r="I7" s="4">
        <f>0.88*G7</f>
        <v>422.4</v>
      </c>
      <c r="K7" s="5" t="s">
        <v>12</v>
      </c>
      <c r="L7" s="8"/>
    </row>
    <row r="8" spans="1:17" ht="15" x14ac:dyDescent="0.25">
      <c r="B8" s="32"/>
      <c r="C8" s="5" t="s">
        <v>11</v>
      </c>
      <c r="D8" s="3">
        <v>35</v>
      </c>
      <c r="E8" s="3">
        <f t="shared" ref="E8:E31" si="0">IF(D8&gt;40,D8-40,)</f>
        <v>0</v>
      </c>
      <c r="F8" s="4">
        <v>13</v>
      </c>
      <c r="G8" s="4">
        <f t="shared" ref="G8:G31" si="1">F8*(D8-E8)+1.5*F8*E8</f>
        <v>455</v>
      </c>
      <c r="H8" s="4" t="s">
        <v>9</v>
      </c>
      <c r="I8" s="4">
        <f t="shared" ref="I8:I24" si="2">0.88*G8</f>
        <v>400.4</v>
      </c>
      <c r="K8" s="5" t="s">
        <v>14</v>
      </c>
      <c r="L8" s="8"/>
    </row>
    <row r="9" spans="1:17" ht="15" x14ac:dyDescent="0.25">
      <c r="B9" s="32"/>
      <c r="C9" s="5" t="s">
        <v>13</v>
      </c>
      <c r="D9" s="3">
        <v>42</v>
      </c>
      <c r="E9" s="3">
        <f t="shared" si="0"/>
        <v>2</v>
      </c>
      <c r="F9" s="4">
        <v>12</v>
      </c>
      <c r="G9" s="4">
        <f t="shared" si="1"/>
        <v>516</v>
      </c>
      <c r="H9" s="4" t="s">
        <v>9</v>
      </c>
      <c r="I9" s="4">
        <f t="shared" si="2"/>
        <v>454.08</v>
      </c>
      <c r="K9" s="5" t="s">
        <v>16</v>
      </c>
      <c r="L9" s="8"/>
    </row>
    <row r="10" spans="1:17" ht="15" x14ac:dyDescent="0.25">
      <c r="B10" s="32"/>
      <c r="C10" s="5" t="s">
        <v>15</v>
      </c>
      <c r="D10" s="3">
        <v>50</v>
      </c>
      <c r="E10" s="3">
        <f t="shared" si="0"/>
        <v>10</v>
      </c>
      <c r="F10" s="4">
        <v>10</v>
      </c>
      <c r="G10" s="4">
        <f t="shared" si="1"/>
        <v>550</v>
      </c>
      <c r="H10" s="4" t="s">
        <v>9</v>
      </c>
      <c r="I10" s="4">
        <f t="shared" si="2"/>
        <v>484</v>
      </c>
      <c r="K10" s="5" t="s">
        <v>18</v>
      </c>
      <c r="L10" s="8"/>
    </row>
    <row r="11" spans="1:17" ht="15" x14ac:dyDescent="0.25">
      <c r="B11" s="32"/>
      <c r="C11" s="5" t="s">
        <v>17</v>
      </c>
      <c r="D11" s="3">
        <v>30</v>
      </c>
      <c r="E11" s="3">
        <f t="shared" si="0"/>
        <v>0</v>
      </c>
      <c r="F11" s="4">
        <v>9.5</v>
      </c>
      <c r="G11" s="4">
        <f t="shared" si="1"/>
        <v>285</v>
      </c>
      <c r="H11" s="4" t="s">
        <v>9</v>
      </c>
      <c r="I11" s="4">
        <f t="shared" si="2"/>
        <v>250.8</v>
      </c>
    </row>
    <row r="12" spans="1:17" ht="15.75" x14ac:dyDescent="0.25">
      <c r="B12" s="32"/>
      <c r="C12" s="5" t="s">
        <v>19</v>
      </c>
      <c r="D12" s="3">
        <v>25</v>
      </c>
      <c r="E12" s="3">
        <f t="shared" si="0"/>
        <v>0</v>
      </c>
      <c r="F12" s="4">
        <v>11.75</v>
      </c>
      <c r="G12" s="4">
        <f t="shared" si="1"/>
        <v>293.75</v>
      </c>
      <c r="H12" s="4" t="s">
        <v>9</v>
      </c>
      <c r="I12" s="4">
        <f t="shared" si="2"/>
        <v>258.5</v>
      </c>
      <c r="K12" s="24" t="s">
        <v>21</v>
      </c>
      <c r="L12" s="25"/>
    </row>
    <row r="13" spans="1:17" ht="15" x14ac:dyDescent="0.25">
      <c r="B13" s="32"/>
      <c r="C13" s="5" t="s">
        <v>20</v>
      </c>
      <c r="D13" s="3">
        <v>60</v>
      </c>
      <c r="E13" s="3">
        <f t="shared" si="0"/>
        <v>20</v>
      </c>
      <c r="F13" s="4">
        <v>12</v>
      </c>
      <c r="G13" s="4">
        <f t="shared" si="1"/>
        <v>840</v>
      </c>
      <c r="H13" s="4" t="s">
        <v>9</v>
      </c>
      <c r="I13" s="4">
        <f t="shared" si="2"/>
        <v>739.2</v>
      </c>
      <c r="K13" s="5" t="s">
        <v>12</v>
      </c>
      <c r="L13" s="7"/>
    </row>
    <row r="14" spans="1:17" ht="15" x14ac:dyDescent="0.25">
      <c r="B14" s="32"/>
      <c r="C14" s="5" t="s">
        <v>22</v>
      </c>
      <c r="D14" s="3">
        <v>45</v>
      </c>
      <c r="E14" s="3">
        <f t="shared" si="0"/>
        <v>5</v>
      </c>
      <c r="F14" s="4">
        <v>10</v>
      </c>
      <c r="G14" s="4">
        <f t="shared" si="1"/>
        <v>475</v>
      </c>
      <c r="H14" s="4" t="s">
        <v>9</v>
      </c>
      <c r="I14" s="4">
        <f t="shared" si="2"/>
        <v>418</v>
      </c>
      <c r="K14" s="5" t="s">
        <v>14</v>
      </c>
      <c r="L14" s="7"/>
    </row>
    <row r="15" spans="1:17" ht="15" x14ac:dyDescent="0.25">
      <c r="B15" s="32"/>
      <c r="C15" s="5" t="s">
        <v>23</v>
      </c>
      <c r="D15" s="3">
        <v>52</v>
      </c>
      <c r="E15" s="3">
        <f t="shared" si="0"/>
        <v>12</v>
      </c>
      <c r="F15" s="4">
        <v>15</v>
      </c>
      <c r="G15" s="4">
        <f t="shared" si="1"/>
        <v>870</v>
      </c>
      <c r="H15" s="4" t="s">
        <v>9</v>
      </c>
      <c r="I15" s="4">
        <f t="shared" si="2"/>
        <v>765.6</v>
      </c>
      <c r="K15" s="5" t="s">
        <v>16</v>
      </c>
      <c r="L15" s="7"/>
    </row>
    <row r="16" spans="1:17" ht="15" x14ac:dyDescent="0.25">
      <c r="B16" s="32"/>
      <c r="C16" s="5" t="s">
        <v>24</v>
      </c>
      <c r="D16" s="3">
        <v>34</v>
      </c>
      <c r="E16" s="3">
        <f t="shared" si="0"/>
        <v>0</v>
      </c>
      <c r="F16" s="4">
        <v>20</v>
      </c>
      <c r="G16" s="4">
        <f t="shared" si="1"/>
        <v>680</v>
      </c>
      <c r="H16" s="4" t="s">
        <v>9</v>
      </c>
      <c r="I16" s="4">
        <f t="shared" si="2"/>
        <v>598.4</v>
      </c>
      <c r="K16" s="5" t="s">
        <v>18</v>
      </c>
      <c r="L16" s="7"/>
    </row>
    <row r="17" spans="2:14" ht="15" x14ac:dyDescent="0.25">
      <c r="B17" s="32"/>
      <c r="C17" s="5" t="s">
        <v>25</v>
      </c>
      <c r="D17" s="3">
        <v>36</v>
      </c>
      <c r="E17" s="3">
        <f t="shared" si="0"/>
        <v>0</v>
      </c>
      <c r="F17" s="4">
        <v>13</v>
      </c>
      <c r="G17" s="4">
        <f t="shared" si="1"/>
        <v>468</v>
      </c>
      <c r="H17" s="4" t="s">
        <v>9</v>
      </c>
      <c r="I17" s="4">
        <f t="shared" si="2"/>
        <v>411.84</v>
      </c>
    </row>
    <row r="18" spans="2:14" ht="15.75" x14ac:dyDescent="0.25">
      <c r="B18" s="32"/>
      <c r="C18" s="5" t="s">
        <v>26</v>
      </c>
      <c r="D18" s="3">
        <v>50</v>
      </c>
      <c r="E18" s="3">
        <f t="shared" si="0"/>
        <v>10</v>
      </c>
      <c r="F18" s="4">
        <v>10</v>
      </c>
      <c r="G18" s="4">
        <f t="shared" si="1"/>
        <v>550</v>
      </c>
      <c r="H18" s="4" t="s">
        <v>9</v>
      </c>
      <c r="I18" s="4">
        <f t="shared" si="2"/>
        <v>484</v>
      </c>
      <c r="K18" s="24" t="s">
        <v>28</v>
      </c>
      <c r="L18" s="25"/>
    </row>
    <row r="19" spans="2:14" ht="15" x14ac:dyDescent="0.25">
      <c r="B19" s="32"/>
      <c r="C19" s="5" t="s">
        <v>27</v>
      </c>
      <c r="D19" s="3">
        <v>47</v>
      </c>
      <c r="E19" s="3">
        <f t="shared" si="0"/>
        <v>7</v>
      </c>
      <c r="F19" s="4">
        <v>14</v>
      </c>
      <c r="G19" s="4">
        <f t="shared" si="1"/>
        <v>707</v>
      </c>
      <c r="H19" s="4" t="s">
        <v>9</v>
      </c>
      <c r="I19" s="4">
        <f t="shared" si="2"/>
        <v>622.16</v>
      </c>
      <c r="K19" s="5" t="s">
        <v>30</v>
      </c>
      <c r="L19" s="3"/>
    </row>
    <row r="20" spans="2:14" ht="15" x14ac:dyDescent="0.25">
      <c r="B20" s="32"/>
      <c r="C20" s="5" t="s">
        <v>29</v>
      </c>
      <c r="D20" s="3">
        <v>51</v>
      </c>
      <c r="E20" s="3">
        <f t="shared" si="0"/>
        <v>11</v>
      </c>
      <c r="F20" s="4">
        <v>12.5</v>
      </c>
      <c r="G20" s="4">
        <f t="shared" si="1"/>
        <v>706.25</v>
      </c>
      <c r="H20" s="4" t="s">
        <v>9</v>
      </c>
      <c r="I20" s="4">
        <f t="shared" si="2"/>
        <v>621.5</v>
      </c>
      <c r="K20" s="26"/>
      <c r="L20" s="27"/>
    </row>
    <row r="21" spans="2:14" ht="15" x14ac:dyDescent="0.25">
      <c r="B21" s="32"/>
      <c r="C21" s="5" t="s">
        <v>31</v>
      </c>
      <c r="D21" s="3">
        <v>32</v>
      </c>
      <c r="E21" s="3">
        <f t="shared" si="0"/>
        <v>0</v>
      </c>
      <c r="F21" s="4">
        <v>10.75</v>
      </c>
      <c r="G21" s="4">
        <f t="shared" si="1"/>
        <v>344</v>
      </c>
      <c r="H21" s="4" t="s">
        <v>9</v>
      </c>
      <c r="I21" s="4">
        <f t="shared" si="2"/>
        <v>302.72000000000003</v>
      </c>
      <c r="K21" s="28"/>
      <c r="L21" s="29"/>
    </row>
    <row r="22" spans="2:14" ht="15" x14ac:dyDescent="0.25">
      <c r="B22" s="32"/>
      <c r="C22" s="5" t="s">
        <v>32</v>
      </c>
      <c r="D22" s="3">
        <v>25</v>
      </c>
      <c r="E22" s="3">
        <f t="shared" si="0"/>
        <v>0</v>
      </c>
      <c r="F22" s="4">
        <v>8</v>
      </c>
      <c r="G22" s="4">
        <f t="shared" si="1"/>
        <v>200</v>
      </c>
      <c r="H22" s="4" t="s">
        <v>9</v>
      </c>
      <c r="I22" s="4">
        <f t="shared" si="2"/>
        <v>176</v>
      </c>
      <c r="K22" s="28"/>
      <c r="L22" s="29"/>
      <c r="N22" s="2"/>
    </row>
    <row r="23" spans="2:14" ht="15" x14ac:dyDescent="0.25">
      <c r="B23" s="32"/>
      <c r="C23" s="5" t="s">
        <v>33</v>
      </c>
      <c r="D23" s="3">
        <v>40</v>
      </c>
      <c r="E23" s="3">
        <f t="shared" si="0"/>
        <v>0</v>
      </c>
      <c r="F23" s="4">
        <v>9.5</v>
      </c>
      <c r="G23" s="4">
        <f t="shared" si="1"/>
        <v>380</v>
      </c>
      <c r="H23" s="4" t="s">
        <v>9</v>
      </c>
      <c r="I23" s="4">
        <f t="shared" si="2"/>
        <v>334.4</v>
      </c>
      <c r="K23" s="28"/>
      <c r="L23" s="29"/>
    </row>
    <row r="24" spans="2:14" ht="15" x14ac:dyDescent="0.25">
      <c r="B24" s="32"/>
      <c r="C24" s="5" t="s">
        <v>34</v>
      </c>
      <c r="D24" s="3">
        <v>30</v>
      </c>
      <c r="E24" s="3">
        <f t="shared" si="0"/>
        <v>0</v>
      </c>
      <c r="F24" s="4">
        <v>7.5</v>
      </c>
      <c r="G24" s="4">
        <f t="shared" si="1"/>
        <v>225</v>
      </c>
      <c r="H24" s="4" t="s">
        <v>9</v>
      </c>
      <c r="I24" s="4">
        <f t="shared" si="2"/>
        <v>198</v>
      </c>
      <c r="K24" s="28"/>
      <c r="L24" s="29"/>
    </row>
    <row r="25" spans="2:14" ht="15" x14ac:dyDescent="0.25">
      <c r="B25" s="32" t="s">
        <v>35</v>
      </c>
      <c r="C25" s="5" t="s">
        <v>36</v>
      </c>
      <c r="D25" s="3">
        <v>35</v>
      </c>
      <c r="E25" s="3">
        <f t="shared" si="0"/>
        <v>0</v>
      </c>
      <c r="F25" s="4">
        <v>9</v>
      </c>
      <c r="G25" s="4">
        <f t="shared" si="1"/>
        <v>315</v>
      </c>
      <c r="H25" s="4">
        <f>0.2*G25</f>
        <v>63</v>
      </c>
      <c r="I25" s="4">
        <f>0.88*SUM(G25:H25)</f>
        <v>332.64</v>
      </c>
      <c r="K25" s="28"/>
      <c r="L25" s="29"/>
      <c r="M25" s="2"/>
    </row>
    <row r="26" spans="2:14" ht="15" x14ac:dyDescent="0.25">
      <c r="B26" s="32"/>
      <c r="C26" s="5" t="s">
        <v>37</v>
      </c>
      <c r="D26" s="3">
        <v>46</v>
      </c>
      <c r="E26" s="3">
        <f t="shared" si="0"/>
        <v>6</v>
      </c>
      <c r="F26" s="4">
        <v>12</v>
      </c>
      <c r="G26" s="4">
        <f t="shared" si="1"/>
        <v>588</v>
      </c>
      <c r="H26" s="4">
        <f t="shared" ref="H26:H31" si="3">0.2*G26</f>
        <v>117.60000000000001</v>
      </c>
      <c r="I26" s="4">
        <f t="shared" ref="I26:I31" si="4">0.88*SUM(G26:H26)</f>
        <v>620.928</v>
      </c>
      <c r="K26" s="28"/>
      <c r="L26" s="29"/>
      <c r="N26" s="2"/>
    </row>
    <row r="27" spans="2:14" ht="15" x14ac:dyDescent="0.25">
      <c r="B27" s="32"/>
      <c r="C27" s="5" t="s">
        <v>38</v>
      </c>
      <c r="D27" s="3">
        <v>42</v>
      </c>
      <c r="E27" s="3">
        <f t="shared" si="0"/>
        <v>2</v>
      </c>
      <c r="F27" s="4">
        <v>13</v>
      </c>
      <c r="G27" s="4">
        <f t="shared" si="1"/>
        <v>559</v>
      </c>
      <c r="H27" s="4">
        <f t="shared" si="3"/>
        <v>111.80000000000001</v>
      </c>
      <c r="I27" s="4">
        <f t="shared" si="4"/>
        <v>590.30399999999997</v>
      </c>
      <c r="K27" s="28"/>
      <c r="L27" s="29"/>
    </row>
    <row r="28" spans="2:14" ht="15" x14ac:dyDescent="0.25">
      <c r="B28" s="32"/>
      <c r="C28" s="5" t="s">
        <v>39</v>
      </c>
      <c r="D28" s="3">
        <v>31</v>
      </c>
      <c r="E28" s="3">
        <f t="shared" si="0"/>
        <v>0</v>
      </c>
      <c r="F28" s="4">
        <v>15</v>
      </c>
      <c r="G28" s="4">
        <f t="shared" si="1"/>
        <v>465</v>
      </c>
      <c r="H28" s="4">
        <f t="shared" si="3"/>
        <v>93</v>
      </c>
      <c r="I28" s="4">
        <f t="shared" si="4"/>
        <v>491.04</v>
      </c>
      <c r="K28" s="30"/>
      <c r="L28" s="31"/>
    </row>
    <row r="29" spans="2:14" ht="15" x14ac:dyDescent="0.25">
      <c r="B29" s="32"/>
      <c r="C29" s="5" t="s">
        <v>40</v>
      </c>
      <c r="D29" s="3">
        <v>46</v>
      </c>
      <c r="E29" s="3">
        <f t="shared" si="0"/>
        <v>6</v>
      </c>
      <c r="F29" s="4">
        <v>25</v>
      </c>
      <c r="G29" s="4">
        <f t="shared" si="1"/>
        <v>1225</v>
      </c>
      <c r="H29" s="4">
        <f t="shared" si="3"/>
        <v>245</v>
      </c>
      <c r="I29" s="4">
        <f t="shared" si="4"/>
        <v>1293.5999999999999</v>
      </c>
    </row>
    <row r="30" spans="2:14" ht="15" x14ac:dyDescent="0.25">
      <c r="B30" s="32"/>
      <c r="C30" s="5" t="s">
        <v>11</v>
      </c>
      <c r="D30" s="3">
        <v>49</v>
      </c>
      <c r="E30" s="3">
        <f t="shared" si="0"/>
        <v>9</v>
      </c>
      <c r="F30" s="4">
        <v>10</v>
      </c>
      <c r="G30" s="4">
        <f t="shared" si="1"/>
        <v>535</v>
      </c>
      <c r="H30" s="4">
        <f t="shared" si="3"/>
        <v>107</v>
      </c>
      <c r="I30" s="4">
        <f t="shared" si="4"/>
        <v>564.96</v>
      </c>
    </row>
    <row r="31" spans="2:14" ht="15" x14ac:dyDescent="0.25">
      <c r="B31" s="32"/>
      <c r="C31" s="5" t="s">
        <v>41</v>
      </c>
      <c r="D31" s="3">
        <v>29</v>
      </c>
      <c r="E31" s="3">
        <f t="shared" si="0"/>
        <v>0</v>
      </c>
      <c r="F31" s="4">
        <v>12.5</v>
      </c>
      <c r="G31" s="4">
        <f t="shared" si="1"/>
        <v>362.5</v>
      </c>
      <c r="H31" s="4">
        <f t="shared" si="3"/>
        <v>72.5</v>
      </c>
      <c r="I31" s="4">
        <f t="shared" si="4"/>
        <v>382.8</v>
      </c>
    </row>
  </sheetData>
  <mergeCells count="10">
    <mergeCell ref="B1:D2"/>
    <mergeCell ref="B3:D3"/>
    <mergeCell ref="E1:J3"/>
    <mergeCell ref="K6:L6"/>
    <mergeCell ref="K12:L12"/>
    <mergeCell ref="K18:L18"/>
    <mergeCell ref="K20:L28"/>
    <mergeCell ref="B25:B31"/>
    <mergeCell ref="C5:I5"/>
    <mergeCell ref="B7:B2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Q119"/>
  <sheetViews>
    <sheetView showGridLines="0" workbookViewId="0">
      <selection activeCell="M17" sqref="M17"/>
    </sheetView>
  </sheetViews>
  <sheetFormatPr defaultRowHeight="15" x14ac:dyDescent="0.25"/>
  <cols>
    <col min="1" max="1" width="7.5703125" style="9" customWidth="1"/>
    <col min="2" max="2" width="47" style="9" customWidth="1"/>
    <col min="3" max="3" width="9.140625" style="9"/>
    <col min="4" max="4" width="23.5703125" style="9" customWidth="1"/>
    <col min="5" max="5" width="18" style="9" customWidth="1"/>
    <col min="6" max="6" width="21.140625" style="9" customWidth="1"/>
    <col min="7" max="7" width="13.7109375" style="9" customWidth="1"/>
    <col min="8" max="8" width="12.140625" style="9" bestFit="1" customWidth="1"/>
    <col min="9" max="9" width="8.28515625" style="9" bestFit="1" customWidth="1"/>
    <col min="10" max="16384" width="9.140625" style="9"/>
  </cols>
  <sheetData>
    <row r="1" spans="1:17" s="22" customFormat="1" ht="15" customHeight="1" x14ac:dyDescent="0.25">
      <c r="A1" s="21"/>
      <c r="B1" s="34" t="s">
        <v>305</v>
      </c>
      <c r="C1" s="34"/>
      <c r="D1" s="36" t="s">
        <v>303</v>
      </c>
      <c r="E1" s="36"/>
      <c r="F1" s="36"/>
      <c r="G1" s="36"/>
      <c r="H1" s="36"/>
      <c r="I1" s="23"/>
      <c r="J1" s="23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6"/>
      <c r="E2" s="36"/>
      <c r="F2" s="36"/>
      <c r="G2" s="36"/>
      <c r="H2" s="36"/>
      <c r="I2" s="23"/>
      <c r="J2" s="23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6"/>
      <c r="E3" s="36"/>
      <c r="F3" s="36"/>
      <c r="G3" s="36"/>
      <c r="H3" s="36"/>
      <c r="I3" s="23"/>
      <c r="J3" s="23"/>
      <c r="K3" s="23"/>
      <c r="L3" s="23"/>
      <c r="M3" s="23"/>
      <c r="N3" s="23"/>
      <c r="O3" s="23"/>
      <c r="P3" s="23"/>
      <c r="Q3" s="23"/>
    </row>
    <row r="5" spans="1:17" ht="15.75" x14ac:dyDescent="0.25">
      <c r="B5" s="10" t="s">
        <v>42</v>
      </c>
      <c r="D5" s="19" t="s">
        <v>157</v>
      </c>
      <c r="E5" s="19" t="s">
        <v>158</v>
      </c>
      <c r="F5" s="19" t="s">
        <v>159</v>
      </c>
      <c r="G5" s="19" t="s">
        <v>160</v>
      </c>
    </row>
    <row r="6" spans="1:17" x14ac:dyDescent="0.25">
      <c r="B6" s="11" t="s">
        <v>43</v>
      </c>
      <c r="D6" s="20"/>
      <c r="E6" s="20"/>
      <c r="F6" s="20"/>
      <c r="G6" s="20"/>
    </row>
    <row r="7" spans="1:17" x14ac:dyDescent="0.25">
      <c r="B7" s="11" t="s">
        <v>44</v>
      </c>
    </row>
    <row r="8" spans="1:17" x14ac:dyDescent="0.25">
      <c r="B8" s="11" t="s">
        <v>45</v>
      </c>
    </row>
    <row r="9" spans="1:17" x14ac:dyDescent="0.25">
      <c r="B9" s="11" t="s">
        <v>46</v>
      </c>
    </row>
    <row r="10" spans="1:17" x14ac:dyDescent="0.25">
      <c r="B10" s="11" t="s">
        <v>47</v>
      </c>
    </row>
    <row r="11" spans="1:17" x14ac:dyDescent="0.25">
      <c r="B11" s="11" t="s">
        <v>48</v>
      </c>
    </row>
    <row r="12" spans="1:17" x14ac:dyDescent="0.25">
      <c r="B12" s="11" t="s">
        <v>49</v>
      </c>
    </row>
    <row r="13" spans="1:17" x14ac:dyDescent="0.25">
      <c r="B13" s="11" t="s">
        <v>50</v>
      </c>
    </row>
    <row r="14" spans="1:17" x14ac:dyDescent="0.25">
      <c r="B14" s="11" t="s">
        <v>51</v>
      </c>
    </row>
    <row r="15" spans="1:17" x14ac:dyDescent="0.25">
      <c r="B15" s="11" t="s">
        <v>52</v>
      </c>
    </row>
    <row r="16" spans="1:17" x14ac:dyDescent="0.25">
      <c r="B16" s="11" t="s">
        <v>53</v>
      </c>
    </row>
    <row r="17" spans="2:2" x14ac:dyDescent="0.25">
      <c r="B17" s="11" t="s">
        <v>54</v>
      </c>
    </row>
    <row r="18" spans="2:2" x14ac:dyDescent="0.25">
      <c r="B18" s="11" t="s">
        <v>55</v>
      </c>
    </row>
    <row r="19" spans="2:2" x14ac:dyDescent="0.25">
      <c r="B19" s="11" t="s">
        <v>56</v>
      </c>
    </row>
    <row r="20" spans="2:2" x14ac:dyDescent="0.25">
      <c r="B20" s="11" t="s">
        <v>57</v>
      </c>
    </row>
    <row r="21" spans="2:2" x14ac:dyDescent="0.25">
      <c r="B21" s="11" t="s">
        <v>58</v>
      </c>
    </row>
    <row r="22" spans="2:2" x14ac:dyDescent="0.25">
      <c r="B22" s="11" t="s">
        <v>59</v>
      </c>
    </row>
    <row r="23" spans="2:2" x14ac:dyDescent="0.25">
      <c r="B23" s="11" t="s">
        <v>60</v>
      </c>
    </row>
    <row r="24" spans="2:2" x14ac:dyDescent="0.25">
      <c r="B24" s="11" t="s">
        <v>61</v>
      </c>
    </row>
    <row r="25" spans="2:2" x14ac:dyDescent="0.25">
      <c r="B25" s="11" t="s">
        <v>62</v>
      </c>
    </row>
    <row r="26" spans="2:2" x14ac:dyDescent="0.25">
      <c r="B26" s="11" t="s">
        <v>63</v>
      </c>
    </row>
    <row r="27" spans="2:2" x14ac:dyDescent="0.25">
      <c r="B27" s="11" t="s">
        <v>64</v>
      </c>
    </row>
    <row r="28" spans="2:2" x14ac:dyDescent="0.25">
      <c r="B28" s="11" t="s">
        <v>65</v>
      </c>
    </row>
    <row r="29" spans="2:2" x14ac:dyDescent="0.25">
      <c r="B29" s="11" t="s">
        <v>66</v>
      </c>
    </row>
    <row r="30" spans="2:2" x14ac:dyDescent="0.25">
      <c r="B30" s="11" t="s">
        <v>67</v>
      </c>
    </row>
    <row r="31" spans="2:2" x14ac:dyDescent="0.25">
      <c r="B31" s="11" t="s">
        <v>68</v>
      </c>
    </row>
    <row r="32" spans="2:2" x14ac:dyDescent="0.25">
      <c r="B32" s="11" t="s">
        <v>69</v>
      </c>
    </row>
    <row r="33" spans="2:2" x14ac:dyDescent="0.25">
      <c r="B33" s="11" t="s">
        <v>70</v>
      </c>
    </row>
    <row r="34" spans="2:2" x14ac:dyDescent="0.25">
      <c r="B34" s="11" t="s">
        <v>71</v>
      </c>
    </row>
    <row r="35" spans="2:2" x14ac:dyDescent="0.25">
      <c r="B35" s="11" t="s">
        <v>72</v>
      </c>
    </row>
    <row r="36" spans="2:2" x14ac:dyDescent="0.25">
      <c r="B36" s="11" t="s">
        <v>73</v>
      </c>
    </row>
    <row r="37" spans="2:2" x14ac:dyDescent="0.25">
      <c r="B37" s="11" t="s">
        <v>74</v>
      </c>
    </row>
    <row r="38" spans="2:2" x14ac:dyDescent="0.25">
      <c r="B38" s="11" t="s">
        <v>75</v>
      </c>
    </row>
    <row r="39" spans="2:2" x14ac:dyDescent="0.25">
      <c r="B39" s="11" t="s">
        <v>76</v>
      </c>
    </row>
    <row r="40" spans="2:2" x14ac:dyDescent="0.25">
      <c r="B40" s="11" t="s">
        <v>77</v>
      </c>
    </row>
    <row r="41" spans="2:2" x14ac:dyDescent="0.25">
      <c r="B41" s="11" t="s">
        <v>78</v>
      </c>
    </row>
    <row r="42" spans="2:2" x14ac:dyDescent="0.25">
      <c r="B42" s="11" t="s">
        <v>79</v>
      </c>
    </row>
    <row r="43" spans="2:2" x14ac:dyDescent="0.25">
      <c r="B43" s="11" t="s">
        <v>80</v>
      </c>
    </row>
    <row r="44" spans="2:2" x14ac:dyDescent="0.25">
      <c r="B44" s="11" t="s">
        <v>81</v>
      </c>
    </row>
    <row r="45" spans="2:2" x14ac:dyDescent="0.25">
      <c r="B45" s="11" t="s">
        <v>82</v>
      </c>
    </row>
    <row r="46" spans="2:2" x14ac:dyDescent="0.25">
      <c r="B46" s="11" t="s">
        <v>83</v>
      </c>
    </row>
    <row r="47" spans="2:2" x14ac:dyDescent="0.25">
      <c r="B47" s="11" t="s">
        <v>84</v>
      </c>
    </row>
    <row r="48" spans="2:2" x14ac:dyDescent="0.25">
      <c r="B48" s="11" t="s">
        <v>85</v>
      </c>
    </row>
    <row r="49" spans="2:2" x14ac:dyDescent="0.25">
      <c r="B49" s="11" t="s">
        <v>86</v>
      </c>
    </row>
    <row r="50" spans="2:2" x14ac:dyDescent="0.25">
      <c r="B50" s="11" t="s">
        <v>87</v>
      </c>
    </row>
    <row r="51" spans="2:2" x14ac:dyDescent="0.25">
      <c r="B51" s="11" t="s">
        <v>88</v>
      </c>
    </row>
    <row r="52" spans="2:2" x14ac:dyDescent="0.25">
      <c r="B52" s="11" t="s">
        <v>89</v>
      </c>
    </row>
    <row r="53" spans="2:2" x14ac:dyDescent="0.25">
      <c r="B53" s="11" t="s">
        <v>90</v>
      </c>
    </row>
    <row r="54" spans="2:2" x14ac:dyDescent="0.25">
      <c r="B54" s="11" t="s">
        <v>91</v>
      </c>
    </row>
    <row r="55" spans="2:2" x14ac:dyDescent="0.25">
      <c r="B55" s="11" t="s">
        <v>92</v>
      </c>
    </row>
    <row r="56" spans="2:2" x14ac:dyDescent="0.25">
      <c r="B56" s="11" t="s">
        <v>93</v>
      </c>
    </row>
    <row r="57" spans="2:2" x14ac:dyDescent="0.25">
      <c r="B57" s="11" t="s">
        <v>94</v>
      </c>
    </row>
    <row r="58" spans="2:2" x14ac:dyDescent="0.25">
      <c r="B58" s="11" t="s">
        <v>95</v>
      </c>
    </row>
    <row r="59" spans="2:2" x14ac:dyDescent="0.25">
      <c r="B59" s="11" t="s">
        <v>96</v>
      </c>
    </row>
    <row r="60" spans="2:2" x14ac:dyDescent="0.25">
      <c r="B60" s="11" t="s">
        <v>97</v>
      </c>
    </row>
    <row r="61" spans="2:2" x14ac:dyDescent="0.25">
      <c r="B61" s="11" t="s">
        <v>98</v>
      </c>
    </row>
    <row r="62" spans="2:2" x14ac:dyDescent="0.25">
      <c r="B62" s="11" t="s">
        <v>99</v>
      </c>
    </row>
    <row r="63" spans="2:2" x14ac:dyDescent="0.25">
      <c r="B63" s="11" t="s">
        <v>100</v>
      </c>
    </row>
    <row r="64" spans="2:2" x14ac:dyDescent="0.25">
      <c r="B64" s="11" t="s">
        <v>101</v>
      </c>
    </row>
    <row r="65" spans="2:2" x14ac:dyDescent="0.25">
      <c r="B65" s="11" t="s">
        <v>102</v>
      </c>
    </row>
    <row r="66" spans="2:2" x14ac:dyDescent="0.25">
      <c r="B66" s="11" t="s">
        <v>103</v>
      </c>
    </row>
    <row r="67" spans="2:2" x14ac:dyDescent="0.25">
      <c r="B67" s="11" t="s">
        <v>104</v>
      </c>
    </row>
    <row r="68" spans="2:2" x14ac:dyDescent="0.25">
      <c r="B68" s="11" t="s">
        <v>105</v>
      </c>
    </row>
    <row r="69" spans="2:2" x14ac:dyDescent="0.25">
      <c r="B69" s="11" t="s">
        <v>106</v>
      </c>
    </row>
    <row r="70" spans="2:2" x14ac:dyDescent="0.25">
      <c r="B70" s="11" t="s">
        <v>107</v>
      </c>
    </row>
    <row r="71" spans="2:2" x14ac:dyDescent="0.25">
      <c r="B71" s="11" t="s">
        <v>108</v>
      </c>
    </row>
    <row r="72" spans="2:2" x14ac:dyDescent="0.25">
      <c r="B72" s="11" t="s">
        <v>109</v>
      </c>
    </row>
    <row r="73" spans="2:2" x14ac:dyDescent="0.25">
      <c r="B73" s="11" t="s">
        <v>110</v>
      </c>
    </row>
    <row r="74" spans="2:2" x14ac:dyDescent="0.25">
      <c r="B74" s="11" t="s">
        <v>111</v>
      </c>
    </row>
    <row r="75" spans="2:2" x14ac:dyDescent="0.25">
      <c r="B75" s="11" t="s">
        <v>112</v>
      </c>
    </row>
    <row r="76" spans="2:2" x14ac:dyDescent="0.25">
      <c r="B76" s="11" t="s">
        <v>113</v>
      </c>
    </row>
    <row r="77" spans="2:2" x14ac:dyDescent="0.25">
      <c r="B77" s="11" t="s">
        <v>114</v>
      </c>
    </row>
    <row r="78" spans="2:2" x14ac:dyDescent="0.25">
      <c r="B78" s="11" t="s">
        <v>115</v>
      </c>
    </row>
    <row r="79" spans="2:2" x14ac:dyDescent="0.25">
      <c r="B79" s="11" t="s">
        <v>116</v>
      </c>
    </row>
    <row r="80" spans="2:2" x14ac:dyDescent="0.25">
      <c r="B80" s="11" t="s">
        <v>117</v>
      </c>
    </row>
    <row r="81" spans="2:2" x14ac:dyDescent="0.25">
      <c r="B81" s="11" t="s">
        <v>118</v>
      </c>
    </row>
    <row r="82" spans="2:2" x14ac:dyDescent="0.25">
      <c r="B82" s="11" t="s">
        <v>119</v>
      </c>
    </row>
    <row r="83" spans="2:2" x14ac:dyDescent="0.25">
      <c r="B83" s="11" t="s">
        <v>120</v>
      </c>
    </row>
    <row r="84" spans="2:2" x14ac:dyDescent="0.25">
      <c r="B84" s="11" t="s">
        <v>121</v>
      </c>
    </row>
    <row r="85" spans="2:2" x14ac:dyDescent="0.25">
      <c r="B85" s="11" t="s">
        <v>122</v>
      </c>
    </row>
    <row r="86" spans="2:2" x14ac:dyDescent="0.25">
      <c r="B86" s="11" t="s">
        <v>123</v>
      </c>
    </row>
    <row r="87" spans="2:2" x14ac:dyDescent="0.25">
      <c r="B87" s="11" t="s">
        <v>124</v>
      </c>
    </row>
    <row r="88" spans="2:2" x14ac:dyDescent="0.25">
      <c r="B88" s="11" t="s">
        <v>125</v>
      </c>
    </row>
    <row r="89" spans="2:2" x14ac:dyDescent="0.25">
      <c r="B89" s="11" t="s">
        <v>126</v>
      </c>
    </row>
    <row r="90" spans="2:2" x14ac:dyDescent="0.25">
      <c r="B90" s="11" t="s">
        <v>127</v>
      </c>
    </row>
    <row r="91" spans="2:2" x14ac:dyDescent="0.25">
      <c r="B91" s="11" t="s">
        <v>128</v>
      </c>
    </row>
    <row r="92" spans="2:2" x14ac:dyDescent="0.25">
      <c r="B92" s="11" t="s">
        <v>129</v>
      </c>
    </row>
    <row r="93" spans="2:2" x14ac:dyDescent="0.25">
      <c r="B93" s="11" t="s">
        <v>130</v>
      </c>
    </row>
    <row r="94" spans="2:2" x14ac:dyDescent="0.25">
      <c r="B94" s="11" t="s">
        <v>131</v>
      </c>
    </row>
    <row r="95" spans="2:2" x14ac:dyDescent="0.25">
      <c r="B95" s="11" t="s">
        <v>132</v>
      </c>
    </row>
    <row r="96" spans="2:2" x14ac:dyDescent="0.25">
      <c r="B96" s="11" t="s">
        <v>133</v>
      </c>
    </row>
    <row r="97" spans="2:2" x14ac:dyDescent="0.25">
      <c r="B97" s="11" t="s">
        <v>134</v>
      </c>
    </row>
    <row r="98" spans="2:2" x14ac:dyDescent="0.25">
      <c r="B98" s="11" t="s">
        <v>135</v>
      </c>
    </row>
    <row r="99" spans="2:2" x14ac:dyDescent="0.25">
      <c r="B99" s="11" t="s">
        <v>136</v>
      </c>
    </row>
    <row r="100" spans="2:2" x14ac:dyDescent="0.25">
      <c r="B100" s="11" t="s">
        <v>137</v>
      </c>
    </row>
    <row r="101" spans="2:2" x14ac:dyDescent="0.25">
      <c r="B101" s="11" t="s">
        <v>138</v>
      </c>
    </row>
    <row r="102" spans="2:2" x14ac:dyDescent="0.25">
      <c r="B102" s="11" t="s">
        <v>139</v>
      </c>
    </row>
    <row r="103" spans="2:2" x14ac:dyDescent="0.25">
      <c r="B103" s="11" t="s">
        <v>140</v>
      </c>
    </row>
    <row r="104" spans="2:2" x14ac:dyDescent="0.25">
      <c r="B104" s="11" t="s">
        <v>141</v>
      </c>
    </row>
    <row r="105" spans="2:2" x14ac:dyDescent="0.25">
      <c r="B105" s="11" t="s">
        <v>142</v>
      </c>
    </row>
    <row r="106" spans="2:2" x14ac:dyDescent="0.25">
      <c r="B106" s="11" t="s">
        <v>143</v>
      </c>
    </row>
    <row r="107" spans="2:2" x14ac:dyDescent="0.25">
      <c r="B107" s="11" t="s">
        <v>144</v>
      </c>
    </row>
    <row r="108" spans="2:2" x14ac:dyDescent="0.25">
      <c r="B108" s="11" t="s">
        <v>145</v>
      </c>
    </row>
    <row r="109" spans="2:2" x14ac:dyDescent="0.25">
      <c r="B109" s="11" t="s">
        <v>146</v>
      </c>
    </row>
    <row r="110" spans="2:2" x14ac:dyDescent="0.25">
      <c r="B110" s="11" t="s">
        <v>147</v>
      </c>
    </row>
    <row r="111" spans="2:2" x14ac:dyDescent="0.25">
      <c r="B111" s="11" t="s">
        <v>148</v>
      </c>
    </row>
    <row r="112" spans="2:2" x14ac:dyDescent="0.25">
      <c r="B112" s="11" t="s">
        <v>149</v>
      </c>
    </row>
    <row r="113" spans="2:2" x14ac:dyDescent="0.25">
      <c r="B113" s="11" t="s">
        <v>150</v>
      </c>
    </row>
    <row r="114" spans="2:2" x14ac:dyDescent="0.25">
      <c r="B114" s="11" t="s">
        <v>151</v>
      </c>
    </row>
    <row r="115" spans="2:2" x14ac:dyDescent="0.25">
      <c r="B115" s="11" t="s">
        <v>152</v>
      </c>
    </row>
    <row r="116" spans="2:2" x14ac:dyDescent="0.25">
      <c r="B116" s="11" t="s">
        <v>153</v>
      </c>
    </row>
    <row r="117" spans="2:2" x14ac:dyDescent="0.25">
      <c r="B117" s="11" t="s">
        <v>154</v>
      </c>
    </row>
    <row r="118" spans="2:2" x14ac:dyDescent="0.25">
      <c r="B118" s="11" t="s">
        <v>155</v>
      </c>
    </row>
    <row r="119" spans="2:2" x14ac:dyDescent="0.25">
      <c r="B119" s="11" t="s">
        <v>156</v>
      </c>
    </row>
  </sheetData>
  <mergeCells count="3">
    <mergeCell ref="B1:C2"/>
    <mergeCell ref="B3:C3"/>
    <mergeCell ref="D1:H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/>
  <dimension ref="A1:Q131"/>
  <sheetViews>
    <sheetView showGridLines="0" workbookViewId="0">
      <selection activeCell="M17" sqref="M17"/>
    </sheetView>
  </sheetViews>
  <sheetFormatPr defaultRowHeight="15" x14ac:dyDescent="0.25"/>
  <cols>
    <col min="1" max="1" width="7.5703125" style="14" customWidth="1"/>
    <col min="2" max="2" width="25" style="14" customWidth="1"/>
    <col min="3" max="3" width="25.85546875" style="14" customWidth="1"/>
    <col min="4" max="4" width="22.42578125" style="14" bestFit="1" customWidth="1"/>
    <col min="5" max="5" width="27.7109375" style="14" bestFit="1" customWidth="1"/>
    <col min="6" max="6" width="18.28515625" style="14" customWidth="1"/>
    <col min="7" max="7" width="20.140625" style="14" customWidth="1"/>
    <col min="8" max="16384" width="9.140625" style="14"/>
  </cols>
  <sheetData>
    <row r="1" spans="1:17" s="22" customFormat="1" ht="15" customHeight="1" x14ac:dyDescent="0.25">
      <c r="A1" s="21"/>
      <c r="B1" s="34" t="s">
        <v>305</v>
      </c>
      <c r="C1" s="34"/>
      <c r="D1" s="36" t="s">
        <v>302</v>
      </c>
      <c r="E1" s="36"/>
      <c r="F1" s="36"/>
      <c r="G1" s="36"/>
      <c r="H1" s="36"/>
      <c r="I1" s="23"/>
      <c r="J1" s="23"/>
      <c r="K1" s="23"/>
      <c r="L1" s="23"/>
      <c r="M1" s="23"/>
      <c r="N1" s="23"/>
      <c r="O1" s="23"/>
      <c r="P1" s="23"/>
      <c r="Q1" s="23"/>
    </row>
    <row r="2" spans="1:17" s="22" customFormat="1" ht="8.25" customHeight="1" x14ac:dyDescent="0.25">
      <c r="A2" s="21"/>
      <c r="B2" s="34"/>
      <c r="C2" s="34"/>
      <c r="D2" s="36"/>
      <c r="E2" s="36"/>
      <c r="F2" s="36"/>
      <c r="G2" s="36"/>
      <c r="H2" s="36"/>
      <c r="I2" s="23"/>
      <c r="J2" s="23"/>
      <c r="K2" s="23"/>
      <c r="L2" s="23"/>
      <c r="M2" s="23"/>
      <c r="N2" s="23"/>
      <c r="O2" s="23"/>
      <c r="P2" s="23"/>
      <c r="Q2" s="23"/>
    </row>
    <row r="3" spans="1:17" s="22" customFormat="1" ht="15" customHeight="1" x14ac:dyDescent="0.25">
      <c r="A3" s="21"/>
      <c r="B3" s="35" t="s">
        <v>304</v>
      </c>
      <c r="C3" s="35"/>
      <c r="D3" s="36"/>
      <c r="E3" s="36"/>
      <c r="F3" s="36"/>
      <c r="G3" s="36"/>
      <c r="H3" s="36"/>
      <c r="I3" s="23"/>
      <c r="J3" s="23"/>
      <c r="K3" s="23"/>
      <c r="L3" s="23"/>
      <c r="M3" s="23"/>
      <c r="N3" s="23"/>
      <c r="O3" s="23"/>
      <c r="P3" s="23"/>
      <c r="Q3" s="23"/>
    </row>
    <row r="4" spans="1:17" x14ac:dyDescent="0.25">
      <c r="B4" s="17"/>
      <c r="C4" s="17"/>
      <c r="D4" s="17"/>
      <c r="E4" s="17"/>
      <c r="F4" s="17"/>
      <c r="G4" s="17"/>
    </row>
    <row r="5" spans="1:17" s="15" customFormat="1" x14ac:dyDescent="0.25">
      <c r="B5" s="18" t="s">
        <v>162</v>
      </c>
      <c r="C5" s="18" t="s">
        <v>163</v>
      </c>
      <c r="D5" s="18" t="s">
        <v>164</v>
      </c>
      <c r="E5" s="18" t="s">
        <v>165</v>
      </c>
      <c r="F5" s="18" t="s">
        <v>166</v>
      </c>
      <c r="G5" s="18" t="s">
        <v>167</v>
      </c>
    </row>
    <row r="6" spans="1:17" x14ac:dyDescent="0.25">
      <c r="B6" s="16" t="s">
        <v>168</v>
      </c>
      <c r="C6" s="16" t="s">
        <v>169</v>
      </c>
      <c r="D6" s="12" t="s">
        <v>170</v>
      </c>
      <c r="E6" s="13">
        <v>208.24</v>
      </c>
      <c r="F6" s="13">
        <v>20.824000000000002</v>
      </c>
      <c r="G6" s="13">
        <v>187.416</v>
      </c>
    </row>
    <row r="7" spans="1:17" x14ac:dyDescent="0.25">
      <c r="B7" s="16" t="s">
        <v>171</v>
      </c>
      <c r="C7" s="16" t="s">
        <v>169</v>
      </c>
      <c r="D7" s="12" t="s">
        <v>172</v>
      </c>
      <c r="E7" s="13">
        <v>215.09</v>
      </c>
      <c r="F7" s="13">
        <v>32.263500000000001</v>
      </c>
      <c r="G7" s="13">
        <v>182.82650000000001</v>
      </c>
    </row>
    <row r="8" spans="1:17" x14ac:dyDescent="0.25">
      <c r="B8" s="16" t="s">
        <v>173</v>
      </c>
      <c r="C8" s="16" t="s">
        <v>174</v>
      </c>
      <c r="D8" s="12" t="s">
        <v>172</v>
      </c>
      <c r="E8" s="13">
        <v>2228.9899999999998</v>
      </c>
      <c r="F8" s="13">
        <v>334.34849999999994</v>
      </c>
      <c r="G8" s="13">
        <v>1894.6414999999997</v>
      </c>
    </row>
    <row r="9" spans="1:17" x14ac:dyDescent="0.25">
      <c r="B9" s="16" t="s">
        <v>175</v>
      </c>
      <c r="C9" s="16" t="s">
        <v>169</v>
      </c>
      <c r="D9" s="12" t="s">
        <v>172</v>
      </c>
      <c r="E9" s="13">
        <v>376.75</v>
      </c>
      <c r="F9" s="13">
        <v>56.512500000000003</v>
      </c>
      <c r="G9" s="13">
        <v>320.23750000000001</v>
      </c>
    </row>
    <row r="10" spans="1:17" x14ac:dyDescent="0.25">
      <c r="B10" s="16" t="s">
        <v>176</v>
      </c>
      <c r="C10" s="16" t="s">
        <v>177</v>
      </c>
      <c r="D10" s="12" t="s">
        <v>170</v>
      </c>
      <c r="E10" s="13">
        <v>869.95</v>
      </c>
      <c r="F10" s="13">
        <v>86.995000000000005</v>
      </c>
      <c r="G10" s="13">
        <v>782.95500000000004</v>
      </c>
    </row>
    <row r="11" spans="1:17" x14ac:dyDescent="0.25">
      <c r="B11" s="16" t="s">
        <v>178</v>
      </c>
      <c r="C11" s="16" t="s">
        <v>174</v>
      </c>
      <c r="D11" s="12" t="s">
        <v>172</v>
      </c>
      <c r="E11" s="13">
        <v>1841.28</v>
      </c>
      <c r="F11" s="13">
        <v>276.19200000000001</v>
      </c>
      <c r="G11" s="13">
        <v>1565.088</v>
      </c>
    </row>
    <row r="12" spans="1:17" x14ac:dyDescent="0.25">
      <c r="B12" s="16" t="s">
        <v>179</v>
      </c>
      <c r="C12" s="16" t="s">
        <v>174</v>
      </c>
      <c r="D12" s="12" t="s">
        <v>170</v>
      </c>
      <c r="E12" s="13">
        <v>2756.44</v>
      </c>
      <c r="F12" s="13">
        <v>275.64400000000001</v>
      </c>
      <c r="G12" s="13">
        <v>2480.7960000000003</v>
      </c>
    </row>
    <row r="13" spans="1:17" x14ac:dyDescent="0.25">
      <c r="B13" s="16" t="s">
        <v>180</v>
      </c>
      <c r="C13" s="16" t="s">
        <v>181</v>
      </c>
      <c r="D13" s="12" t="s">
        <v>172</v>
      </c>
      <c r="E13" s="13">
        <v>739.8</v>
      </c>
      <c r="F13" s="13">
        <v>110.97</v>
      </c>
      <c r="G13" s="13">
        <v>628.83000000000004</v>
      </c>
    </row>
    <row r="14" spans="1:17" x14ac:dyDescent="0.25">
      <c r="B14" s="16" t="s">
        <v>182</v>
      </c>
      <c r="C14" s="16" t="s">
        <v>174</v>
      </c>
      <c r="D14" s="12" t="s">
        <v>172</v>
      </c>
      <c r="E14" s="13">
        <v>1694.69</v>
      </c>
      <c r="F14" s="13">
        <v>254.20349999999999</v>
      </c>
      <c r="G14" s="13">
        <v>1440.4865</v>
      </c>
    </row>
    <row r="15" spans="1:17" x14ac:dyDescent="0.25">
      <c r="B15" s="16" t="s">
        <v>183</v>
      </c>
      <c r="C15" s="16" t="s">
        <v>169</v>
      </c>
      <c r="D15" s="12" t="s">
        <v>170</v>
      </c>
      <c r="E15" s="13">
        <v>157.55000000000001</v>
      </c>
      <c r="F15" s="13">
        <v>15.755000000000001</v>
      </c>
      <c r="G15" s="13">
        <v>141.79499999999999</v>
      </c>
    </row>
    <row r="16" spans="1:17" x14ac:dyDescent="0.25">
      <c r="B16" s="16" t="s">
        <v>184</v>
      </c>
      <c r="C16" s="16" t="s">
        <v>174</v>
      </c>
      <c r="D16" s="12" t="s">
        <v>170</v>
      </c>
      <c r="E16" s="13">
        <v>1579.61</v>
      </c>
      <c r="F16" s="13">
        <v>157.96100000000001</v>
      </c>
      <c r="G16" s="13">
        <v>1421.6489999999999</v>
      </c>
    </row>
    <row r="17" spans="2:7" x14ac:dyDescent="0.25">
      <c r="B17" s="16" t="s">
        <v>185</v>
      </c>
      <c r="C17" s="16" t="s">
        <v>177</v>
      </c>
      <c r="D17" s="12" t="s">
        <v>172</v>
      </c>
      <c r="E17" s="13">
        <v>934.34</v>
      </c>
      <c r="F17" s="13">
        <v>140.15100000000001</v>
      </c>
      <c r="G17" s="13">
        <v>794.18900000000008</v>
      </c>
    </row>
    <row r="18" spans="2:7" x14ac:dyDescent="0.25">
      <c r="B18" s="16" t="s">
        <v>186</v>
      </c>
      <c r="C18" s="16" t="s">
        <v>177</v>
      </c>
      <c r="D18" s="12" t="s">
        <v>172</v>
      </c>
      <c r="E18" s="13">
        <v>830.22</v>
      </c>
      <c r="F18" s="13">
        <v>124.533</v>
      </c>
      <c r="G18" s="13">
        <v>705.68700000000001</v>
      </c>
    </row>
    <row r="19" spans="2:7" x14ac:dyDescent="0.25">
      <c r="B19" s="16" t="s">
        <v>187</v>
      </c>
      <c r="C19" s="16" t="s">
        <v>174</v>
      </c>
      <c r="D19" s="12" t="s">
        <v>170</v>
      </c>
      <c r="E19" s="13">
        <v>2159.12</v>
      </c>
      <c r="F19" s="13">
        <v>215.91200000000001</v>
      </c>
      <c r="G19" s="13">
        <v>1943.2079999999999</v>
      </c>
    </row>
    <row r="20" spans="2:7" x14ac:dyDescent="0.25">
      <c r="B20" s="16" t="s">
        <v>161</v>
      </c>
      <c r="C20" s="16" t="s">
        <v>174</v>
      </c>
      <c r="D20" s="12" t="s">
        <v>170</v>
      </c>
      <c r="E20" s="13">
        <v>1323.42</v>
      </c>
      <c r="F20" s="13">
        <v>132.34200000000001</v>
      </c>
      <c r="G20" s="13">
        <v>1191.078</v>
      </c>
    </row>
    <row r="21" spans="2:7" x14ac:dyDescent="0.25">
      <c r="B21" s="16" t="s">
        <v>188</v>
      </c>
      <c r="C21" s="16" t="s">
        <v>169</v>
      </c>
      <c r="D21" s="12" t="s">
        <v>170</v>
      </c>
      <c r="E21" s="13">
        <v>326.06</v>
      </c>
      <c r="F21" s="13">
        <v>32.606000000000002</v>
      </c>
      <c r="G21" s="13">
        <v>293.45400000000001</v>
      </c>
    </row>
    <row r="22" spans="2:7" x14ac:dyDescent="0.25">
      <c r="B22" s="16" t="s">
        <v>189</v>
      </c>
      <c r="C22" s="16" t="s">
        <v>177</v>
      </c>
      <c r="D22" s="12" t="s">
        <v>170</v>
      </c>
      <c r="E22" s="13">
        <v>908.31</v>
      </c>
      <c r="F22" s="13">
        <v>90.831000000000003</v>
      </c>
      <c r="G22" s="13">
        <v>817.47899999999993</v>
      </c>
    </row>
    <row r="23" spans="2:7" x14ac:dyDescent="0.25">
      <c r="B23" s="16" t="s">
        <v>190</v>
      </c>
      <c r="C23" s="16" t="s">
        <v>174</v>
      </c>
      <c r="D23" s="12" t="s">
        <v>170</v>
      </c>
      <c r="E23" s="13">
        <v>1853.61</v>
      </c>
      <c r="F23" s="13">
        <v>185.36099999999999</v>
      </c>
      <c r="G23" s="13">
        <v>1668.2489999999998</v>
      </c>
    </row>
    <row r="24" spans="2:7" x14ac:dyDescent="0.25">
      <c r="B24" s="16" t="s">
        <v>191</v>
      </c>
      <c r="C24" s="16" t="s">
        <v>169</v>
      </c>
      <c r="D24" s="12" t="s">
        <v>170</v>
      </c>
      <c r="E24" s="13">
        <v>145.76800000000003</v>
      </c>
      <c r="F24" s="13">
        <v>14.576800000000004</v>
      </c>
      <c r="G24" s="13">
        <v>131.19120000000004</v>
      </c>
    </row>
    <row r="25" spans="2:7" x14ac:dyDescent="0.25">
      <c r="B25" s="16" t="s">
        <v>192</v>
      </c>
      <c r="C25" s="16" t="s">
        <v>193</v>
      </c>
      <c r="D25" s="12" t="s">
        <v>170</v>
      </c>
      <c r="E25" s="13">
        <v>3257.86</v>
      </c>
      <c r="F25" s="13">
        <v>325.78600000000006</v>
      </c>
      <c r="G25" s="13">
        <v>2932.0740000000001</v>
      </c>
    </row>
    <row r="26" spans="2:7" x14ac:dyDescent="0.25">
      <c r="B26" s="16" t="s">
        <v>194</v>
      </c>
      <c r="C26" s="16" t="s">
        <v>181</v>
      </c>
      <c r="D26" s="12" t="s">
        <v>170</v>
      </c>
      <c r="E26" s="13">
        <v>554.85</v>
      </c>
      <c r="F26" s="13">
        <v>55.484999999999999</v>
      </c>
      <c r="G26" s="13">
        <v>499.36500000000001</v>
      </c>
    </row>
    <row r="27" spans="2:7" x14ac:dyDescent="0.25">
      <c r="B27" s="16" t="s">
        <v>195</v>
      </c>
      <c r="C27" s="16" t="s">
        <v>177</v>
      </c>
      <c r="D27" s="12" t="s">
        <v>172</v>
      </c>
      <c r="E27" s="13">
        <v>904.2</v>
      </c>
      <c r="F27" s="13">
        <v>135.63</v>
      </c>
      <c r="G27" s="13">
        <v>768.57</v>
      </c>
    </row>
    <row r="28" spans="2:7" x14ac:dyDescent="0.25">
      <c r="B28" s="16" t="s">
        <v>196</v>
      </c>
      <c r="C28" s="16" t="s">
        <v>193</v>
      </c>
      <c r="D28" s="12" t="s">
        <v>172</v>
      </c>
      <c r="E28" s="13">
        <v>3003.04</v>
      </c>
      <c r="F28" s="13">
        <v>450.45599999999996</v>
      </c>
      <c r="G28" s="13">
        <v>2552.5839999999998</v>
      </c>
    </row>
    <row r="29" spans="2:7" x14ac:dyDescent="0.25">
      <c r="B29" s="16" t="s">
        <v>197</v>
      </c>
      <c r="C29" s="16" t="s">
        <v>174</v>
      </c>
      <c r="D29" s="12" t="s">
        <v>172</v>
      </c>
      <c r="E29" s="13">
        <v>1393.29</v>
      </c>
      <c r="F29" s="13">
        <v>208.99349999999998</v>
      </c>
      <c r="G29" s="13">
        <v>1184.2964999999999</v>
      </c>
    </row>
    <row r="30" spans="2:7" x14ac:dyDescent="0.25">
      <c r="B30" s="16" t="s">
        <v>198</v>
      </c>
      <c r="C30" s="16" t="s">
        <v>193</v>
      </c>
      <c r="D30" s="12" t="s">
        <v>170</v>
      </c>
      <c r="E30" s="13">
        <v>3071.54</v>
      </c>
      <c r="F30" s="13">
        <v>307.154</v>
      </c>
      <c r="G30" s="13">
        <v>2764.386</v>
      </c>
    </row>
    <row r="31" spans="2:7" x14ac:dyDescent="0.25">
      <c r="B31" s="16" t="s">
        <v>199</v>
      </c>
      <c r="C31" s="16" t="s">
        <v>174</v>
      </c>
      <c r="D31" s="12" t="s">
        <v>170</v>
      </c>
      <c r="E31" s="13">
        <v>1948.14</v>
      </c>
      <c r="F31" s="13">
        <v>194.81400000000002</v>
      </c>
      <c r="G31" s="13">
        <v>1753.326</v>
      </c>
    </row>
    <row r="32" spans="2:7" x14ac:dyDescent="0.25">
      <c r="B32" s="16" t="s">
        <v>200</v>
      </c>
      <c r="C32" s="16" t="s">
        <v>181</v>
      </c>
      <c r="D32" s="12" t="s">
        <v>172</v>
      </c>
      <c r="E32" s="13">
        <v>521.97</v>
      </c>
      <c r="F32" s="13">
        <v>78.295500000000004</v>
      </c>
      <c r="G32" s="13">
        <v>443.67450000000002</v>
      </c>
    </row>
    <row r="33" spans="2:7" x14ac:dyDescent="0.25">
      <c r="B33" s="16" t="s">
        <v>201</v>
      </c>
      <c r="C33" s="16" t="s">
        <v>174</v>
      </c>
      <c r="D33" s="12" t="s">
        <v>172</v>
      </c>
      <c r="E33" s="13">
        <v>2116.65</v>
      </c>
      <c r="F33" s="13">
        <v>317.4975</v>
      </c>
      <c r="G33" s="13">
        <v>1799.1525000000001</v>
      </c>
    </row>
    <row r="34" spans="2:7" x14ac:dyDescent="0.25">
      <c r="B34" s="16" t="s">
        <v>202</v>
      </c>
      <c r="C34" s="16" t="s">
        <v>174</v>
      </c>
      <c r="D34" s="12" t="s">
        <v>170</v>
      </c>
      <c r="E34" s="13">
        <v>1649.48</v>
      </c>
      <c r="F34" s="13">
        <v>164.94800000000001</v>
      </c>
      <c r="G34" s="13">
        <v>1484.5319999999999</v>
      </c>
    </row>
    <row r="35" spans="2:7" x14ac:dyDescent="0.25">
      <c r="B35" s="16" t="s">
        <v>203</v>
      </c>
      <c r="C35" s="16" t="s">
        <v>174</v>
      </c>
      <c r="D35" s="12" t="s">
        <v>172</v>
      </c>
      <c r="E35" s="13">
        <v>2441.34</v>
      </c>
      <c r="F35" s="13">
        <v>366.20100000000002</v>
      </c>
      <c r="G35" s="13">
        <v>2075.1390000000001</v>
      </c>
    </row>
    <row r="36" spans="2:7" x14ac:dyDescent="0.25">
      <c r="B36" s="16" t="s">
        <v>204</v>
      </c>
      <c r="C36" s="16" t="s">
        <v>174</v>
      </c>
      <c r="D36" s="12" t="s">
        <v>172</v>
      </c>
      <c r="E36" s="13">
        <v>1228.8900000000001</v>
      </c>
      <c r="F36" s="13">
        <v>184.33350000000002</v>
      </c>
      <c r="G36" s="13">
        <v>1044.5565000000001</v>
      </c>
    </row>
    <row r="37" spans="2:7" x14ac:dyDescent="0.25">
      <c r="B37" s="16" t="s">
        <v>205</v>
      </c>
      <c r="C37" s="16" t="s">
        <v>174</v>
      </c>
      <c r="D37" s="12" t="s">
        <v>172</v>
      </c>
      <c r="E37" s="13">
        <v>2224.88</v>
      </c>
      <c r="F37" s="13">
        <v>333.73200000000003</v>
      </c>
      <c r="G37" s="13">
        <v>1891.1480000000001</v>
      </c>
    </row>
    <row r="38" spans="2:7" x14ac:dyDescent="0.25">
      <c r="B38" s="16" t="s">
        <v>206</v>
      </c>
      <c r="C38" s="16" t="s">
        <v>169</v>
      </c>
      <c r="D38" s="12" t="s">
        <v>170</v>
      </c>
      <c r="E38" s="13">
        <v>141.11000000000001</v>
      </c>
      <c r="F38" s="13">
        <v>14.111000000000002</v>
      </c>
      <c r="G38" s="13">
        <v>126.99900000000001</v>
      </c>
    </row>
    <row r="39" spans="2:7" x14ac:dyDescent="0.25">
      <c r="B39" s="16" t="s">
        <v>207</v>
      </c>
      <c r="C39" s="16" t="s">
        <v>174</v>
      </c>
      <c r="D39" s="12" t="s">
        <v>170</v>
      </c>
      <c r="E39" s="13">
        <v>2761.92</v>
      </c>
      <c r="F39" s="13">
        <v>276.19200000000001</v>
      </c>
      <c r="G39" s="13">
        <v>2485.7280000000001</v>
      </c>
    </row>
    <row r="40" spans="2:7" x14ac:dyDescent="0.25">
      <c r="B40" s="16" t="s">
        <v>208</v>
      </c>
      <c r="C40" s="16" t="s">
        <v>174</v>
      </c>
      <c r="D40" s="12" t="s">
        <v>172</v>
      </c>
      <c r="E40" s="13">
        <v>1123.4000000000001</v>
      </c>
      <c r="F40" s="13">
        <v>168.51</v>
      </c>
      <c r="G40" s="13">
        <v>954.89</v>
      </c>
    </row>
    <row r="41" spans="2:7" x14ac:dyDescent="0.25">
      <c r="B41" s="16" t="s">
        <v>209</v>
      </c>
      <c r="C41" s="16" t="s">
        <v>174</v>
      </c>
      <c r="D41" s="12" t="s">
        <v>170</v>
      </c>
      <c r="E41" s="13">
        <v>2709.86</v>
      </c>
      <c r="F41" s="13">
        <v>270.98600000000005</v>
      </c>
      <c r="G41" s="13">
        <v>2438.8740000000003</v>
      </c>
    </row>
    <row r="42" spans="2:7" x14ac:dyDescent="0.25">
      <c r="B42" s="16" t="s">
        <v>210</v>
      </c>
      <c r="C42" s="16" t="s">
        <v>177</v>
      </c>
      <c r="D42" s="12" t="s">
        <v>170</v>
      </c>
      <c r="E42" s="13">
        <v>742.54</v>
      </c>
      <c r="F42" s="13">
        <v>74.254000000000005</v>
      </c>
      <c r="G42" s="13">
        <v>668.28599999999994</v>
      </c>
    </row>
    <row r="43" spans="2:7" x14ac:dyDescent="0.25">
      <c r="B43" s="16" t="s">
        <v>211</v>
      </c>
      <c r="C43" s="16" t="s">
        <v>181</v>
      </c>
      <c r="D43" s="12" t="s">
        <v>170</v>
      </c>
      <c r="E43" s="13">
        <v>520.6</v>
      </c>
      <c r="F43" s="13">
        <v>52.06</v>
      </c>
      <c r="G43" s="13">
        <v>468.54</v>
      </c>
    </row>
    <row r="44" spans="2:7" x14ac:dyDescent="0.25">
      <c r="B44" s="16" t="s">
        <v>212</v>
      </c>
      <c r="C44" s="16" t="s">
        <v>174</v>
      </c>
      <c r="D44" s="12" t="s">
        <v>172</v>
      </c>
      <c r="E44" s="13">
        <v>1635.78</v>
      </c>
      <c r="F44" s="13">
        <v>245.36699999999999</v>
      </c>
      <c r="G44" s="13">
        <v>1390.413</v>
      </c>
    </row>
    <row r="45" spans="2:7" x14ac:dyDescent="0.25">
      <c r="B45" s="16" t="s">
        <v>213</v>
      </c>
      <c r="C45" s="16" t="s">
        <v>174</v>
      </c>
      <c r="D45" s="12" t="s">
        <v>172</v>
      </c>
      <c r="E45" s="13">
        <v>1752.23</v>
      </c>
      <c r="F45" s="13">
        <v>262.83449999999999</v>
      </c>
      <c r="G45" s="13">
        <v>1489.3955000000001</v>
      </c>
    </row>
    <row r="46" spans="2:7" x14ac:dyDescent="0.25">
      <c r="B46" s="16" t="s">
        <v>214</v>
      </c>
      <c r="C46" s="16" t="s">
        <v>174</v>
      </c>
      <c r="D46" s="12" t="s">
        <v>172</v>
      </c>
      <c r="E46" s="13">
        <v>2682.46</v>
      </c>
      <c r="F46" s="13">
        <v>402.36899999999997</v>
      </c>
      <c r="G46" s="13">
        <v>2280.0909999999999</v>
      </c>
    </row>
    <row r="47" spans="2:7" x14ac:dyDescent="0.25">
      <c r="B47" s="16" t="s">
        <v>215</v>
      </c>
      <c r="C47" s="16" t="s">
        <v>174</v>
      </c>
      <c r="D47" s="12" t="s">
        <v>170</v>
      </c>
      <c r="E47" s="13">
        <v>1350.82</v>
      </c>
      <c r="F47" s="13">
        <v>135.08199999999999</v>
      </c>
      <c r="G47" s="13">
        <v>1215.7379999999998</v>
      </c>
    </row>
    <row r="48" spans="2:7" x14ac:dyDescent="0.25">
      <c r="B48" s="16" t="s">
        <v>216</v>
      </c>
      <c r="C48" s="16" t="s">
        <v>174</v>
      </c>
      <c r="D48" s="12" t="s">
        <v>172</v>
      </c>
      <c r="E48" s="13">
        <v>1106.96</v>
      </c>
      <c r="F48" s="13">
        <v>166.04400000000001</v>
      </c>
      <c r="G48" s="13">
        <v>940.91600000000005</v>
      </c>
    </row>
    <row r="49" spans="2:7" x14ac:dyDescent="0.25">
      <c r="B49" s="16" t="s">
        <v>217</v>
      </c>
      <c r="C49" s="16" t="s">
        <v>174</v>
      </c>
      <c r="D49" s="12" t="s">
        <v>172</v>
      </c>
      <c r="E49" s="13">
        <v>1526.18</v>
      </c>
      <c r="F49" s="13">
        <v>228.92699999999999</v>
      </c>
      <c r="G49" s="13">
        <v>1297.2530000000002</v>
      </c>
    </row>
    <row r="50" spans="2:7" x14ac:dyDescent="0.25">
      <c r="B50" s="16" t="s">
        <v>218</v>
      </c>
      <c r="C50" s="16" t="s">
        <v>174</v>
      </c>
      <c r="D50" s="12" t="s">
        <v>170</v>
      </c>
      <c r="E50" s="13">
        <v>2660.54</v>
      </c>
      <c r="F50" s="13">
        <v>266.05400000000003</v>
      </c>
      <c r="G50" s="13">
        <v>2394.4859999999999</v>
      </c>
    </row>
    <row r="51" spans="2:7" x14ac:dyDescent="0.25">
      <c r="B51" s="16" t="s">
        <v>219</v>
      </c>
      <c r="C51" s="16" t="s">
        <v>174</v>
      </c>
      <c r="D51" s="12" t="s">
        <v>172</v>
      </c>
      <c r="E51" s="13">
        <v>1868.68</v>
      </c>
      <c r="F51" s="13">
        <v>280.30200000000002</v>
      </c>
      <c r="G51" s="13">
        <v>1588.3780000000002</v>
      </c>
    </row>
    <row r="52" spans="2:7" x14ac:dyDescent="0.25">
      <c r="B52" s="16" t="s">
        <v>220</v>
      </c>
      <c r="C52" s="16" t="s">
        <v>174</v>
      </c>
      <c r="D52" s="12" t="s">
        <v>170</v>
      </c>
      <c r="E52" s="13">
        <v>1982.39</v>
      </c>
      <c r="F52" s="13">
        <v>198.23900000000003</v>
      </c>
      <c r="G52" s="13">
        <v>1784.1510000000001</v>
      </c>
    </row>
    <row r="53" spans="2:7" x14ac:dyDescent="0.25">
      <c r="B53" s="16" t="s">
        <v>221</v>
      </c>
      <c r="C53" s="16" t="s">
        <v>174</v>
      </c>
      <c r="D53" s="12" t="s">
        <v>170</v>
      </c>
      <c r="E53" s="13">
        <v>1113.81</v>
      </c>
      <c r="F53" s="13">
        <v>111.381</v>
      </c>
      <c r="G53" s="13">
        <v>1002.429</v>
      </c>
    </row>
    <row r="54" spans="2:7" x14ac:dyDescent="0.25">
      <c r="B54" s="16" t="s">
        <v>222</v>
      </c>
      <c r="C54" s="16" t="s">
        <v>169</v>
      </c>
      <c r="D54" s="12" t="s">
        <v>172</v>
      </c>
      <c r="E54" s="13">
        <v>389.08</v>
      </c>
      <c r="F54" s="13">
        <v>58.361999999999995</v>
      </c>
      <c r="G54" s="13">
        <v>330.71799999999996</v>
      </c>
    </row>
    <row r="55" spans="2:7" x14ac:dyDescent="0.25">
      <c r="B55" s="16" t="s">
        <v>223</v>
      </c>
      <c r="C55" s="16" t="s">
        <v>174</v>
      </c>
      <c r="D55" s="12" t="s">
        <v>172</v>
      </c>
      <c r="E55" s="13">
        <v>1086.4100000000001</v>
      </c>
      <c r="F55" s="13">
        <v>162.9615</v>
      </c>
      <c r="G55" s="13">
        <v>923.44850000000008</v>
      </c>
    </row>
    <row r="56" spans="2:7" x14ac:dyDescent="0.25">
      <c r="B56" s="16" t="s">
        <v>224</v>
      </c>
      <c r="C56" s="16" t="s">
        <v>174</v>
      </c>
      <c r="D56" s="12" t="s">
        <v>170</v>
      </c>
      <c r="E56" s="13">
        <v>1991.98</v>
      </c>
      <c r="F56" s="13">
        <v>199.19800000000001</v>
      </c>
      <c r="G56" s="13">
        <v>1792.7819999999999</v>
      </c>
    </row>
    <row r="57" spans="2:7" x14ac:dyDescent="0.25">
      <c r="B57" s="16" t="s">
        <v>225</v>
      </c>
      <c r="C57" s="16" t="s">
        <v>174</v>
      </c>
      <c r="D57" s="12" t="s">
        <v>170</v>
      </c>
      <c r="E57" s="13">
        <v>2308.4499999999998</v>
      </c>
      <c r="F57" s="13">
        <v>230.845</v>
      </c>
      <c r="G57" s="13">
        <v>2077.605</v>
      </c>
    </row>
    <row r="58" spans="2:7" x14ac:dyDescent="0.25">
      <c r="B58" s="16" t="s">
        <v>226</v>
      </c>
      <c r="C58" s="16" t="s">
        <v>174</v>
      </c>
      <c r="D58" s="12" t="s">
        <v>170</v>
      </c>
      <c r="E58" s="13">
        <v>2629.03</v>
      </c>
      <c r="F58" s="13">
        <v>262.90300000000002</v>
      </c>
      <c r="G58" s="13">
        <v>2366.1270000000004</v>
      </c>
    </row>
    <row r="59" spans="2:7" x14ac:dyDescent="0.25">
      <c r="B59" s="16" t="s">
        <v>227</v>
      </c>
      <c r="C59" s="16" t="s">
        <v>174</v>
      </c>
      <c r="D59" s="12" t="s">
        <v>172</v>
      </c>
      <c r="E59" s="13">
        <v>2919.47</v>
      </c>
      <c r="F59" s="13">
        <v>437.92049999999995</v>
      </c>
      <c r="G59" s="13">
        <v>2481.5495000000001</v>
      </c>
    </row>
    <row r="60" spans="2:7" x14ac:dyDescent="0.25">
      <c r="B60" s="16" t="s">
        <v>228</v>
      </c>
      <c r="C60" s="16" t="s">
        <v>181</v>
      </c>
      <c r="D60" s="12" t="s">
        <v>170</v>
      </c>
      <c r="E60" s="13">
        <v>557.59</v>
      </c>
      <c r="F60" s="13">
        <v>55.759000000000007</v>
      </c>
      <c r="G60" s="13">
        <v>501.83100000000002</v>
      </c>
    </row>
    <row r="61" spans="2:7" x14ac:dyDescent="0.25">
      <c r="B61" s="16" t="s">
        <v>229</v>
      </c>
      <c r="C61" s="16" t="s">
        <v>193</v>
      </c>
      <c r="D61" s="12" t="s">
        <v>170</v>
      </c>
      <c r="E61" s="13">
        <v>3100.31</v>
      </c>
      <c r="F61" s="13">
        <v>310.03100000000001</v>
      </c>
      <c r="G61" s="13">
        <v>2790.279</v>
      </c>
    </row>
    <row r="62" spans="2:7" x14ac:dyDescent="0.25">
      <c r="B62" s="16" t="s">
        <v>230</v>
      </c>
      <c r="C62" s="16" t="s">
        <v>169</v>
      </c>
      <c r="D62" s="12" t="s">
        <v>172</v>
      </c>
      <c r="E62" s="13">
        <v>78.638000000000005</v>
      </c>
      <c r="F62" s="13">
        <v>11.7957</v>
      </c>
      <c r="G62" s="13">
        <v>66.842300000000009</v>
      </c>
    </row>
    <row r="63" spans="2:7" x14ac:dyDescent="0.25">
      <c r="B63" s="16" t="s">
        <v>231</v>
      </c>
      <c r="C63" s="16" t="s">
        <v>174</v>
      </c>
      <c r="D63" s="12" t="s">
        <v>172</v>
      </c>
      <c r="E63" s="13">
        <v>2163.23</v>
      </c>
      <c r="F63" s="13">
        <v>324.48449999999997</v>
      </c>
      <c r="G63" s="13">
        <v>1838.7455</v>
      </c>
    </row>
    <row r="64" spans="2:7" x14ac:dyDescent="0.25">
      <c r="B64" s="16" t="s">
        <v>232</v>
      </c>
      <c r="C64" s="16" t="s">
        <v>174</v>
      </c>
      <c r="D64" s="12" t="s">
        <v>170</v>
      </c>
      <c r="E64" s="13">
        <v>2487.92</v>
      </c>
      <c r="F64" s="13">
        <v>248.79200000000003</v>
      </c>
      <c r="G64" s="13">
        <v>2239.1280000000002</v>
      </c>
    </row>
    <row r="65" spans="2:7" x14ac:dyDescent="0.25">
      <c r="B65" s="16" t="s">
        <v>233</v>
      </c>
      <c r="C65" s="16" t="s">
        <v>181</v>
      </c>
      <c r="D65" s="12" t="s">
        <v>172</v>
      </c>
      <c r="E65" s="13">
        <v>554.85</v>
      </c>
      <c r="F65" s="13">
        <v>83.227500000000006</v>
      </c>
      <c r="G65" s="13">
        <v>471.6225</v>
      </c>
    </row>
    <row r="66" spans="2:7" x14ac:dyDescent="0.25">
      <c r="B66" s="16" t="s">
        <v>234</v>
      </c>
      <c r="C66" s="16" t="s">
        <v>174</v>
      </c>
      <c r="D66" s="12" t="s">
        <v>172</v>
      </c>
      <c r="E66" s="13">
        <v>2801.65</v>
      </c>
      <c r="F66" s="13">
        <v>420.2475</v>
      </c>
      <c r="G66" s="13">
        <v>2381.4025000000001</v>
      </c>
    </row>
    <row r="67" spans="2:7" x14ac:dyDescent="0.25">
      <c r="B67" s="16" t="s">
        <v>235</v>
      </c>
      <c r="C67" s="16" t="s">
        <v>169</v>
      </c>
      <c r="D67" s="12" t="s">
        <v>172</v>
      </c>
      <c r="E67" s="13">
        <v>377.61310000000003</v>
      </c>
      <c r="F67" s="13">
        <v>56.641965000000006</v>
      </c>
      <c r="G67" s="13">
        <v>320.971135</v>
      </c>
    </row>
    <row r="68" spans="2:7" x14ac:dyDescent="0.25">
      <c r="B68" s="16" t="s">
        <v>236</v>
      </c>
      <c r="C68" s="16" t="s">
        <v>193</v>
      </c>
      <c r="D68" s="12" t="s">
        <v>172</v>
      </c>
      <c r="E68" s="13">
        <v>3107.16</v>
      </c>
      <c r="F68" s="13">
        <v>466.07399999999996</v>
      </c>
      <c r="G68" s="13">
        <v>2641.0859999999998</v>
      </c>
    </row>
    <row r="69" spans="2:7" x14ac:dyDescent="0.25">
      <c r="B69" s="16" t="s">
        <v>237</v>
      </c>
      <c r="C69" s="16" t="s">
        <v>174</v>
      </c>
      <c r="D69" s="12" t="s">
        <v>172</v>
      </c>
      <c r="E69" s="13">
        <v>1605.64</v>
      </c>
      <c r="F69" s="13">
        <v>240.846</v>
      </c>
      <c r="G69" s="13">
        <v>1364.7940000000001</v>
      </c>
    </row>
    <row r="70" spans="2:7" x14ac:dyDescent="0.25">
      <c r="B70" s="16" t="s">
        <v>238</v>
      </c>
      <c r="C70" s="16" t="s">
        <v>177</v>
      </c>
      <c r="D70" s="12" t="s">
        <v>170</v>
      </c>
      <c r="E70" s="13">
        <v>783.64</v>
      </c>
      <c r="F70" s="13">
        <v>78.364000000000004</v>
      </c>
      <c r="G70" s="13">
        <v>705.27599999999995</v>
      </c>
    </row>
    <row r="71" spans="2:7" x14ac:dyDescent="0.25">
      <c r="B71" s="16" t="s">
        <v>239</v>
      </c>
      <c r="C71" s="16" t="s">
        <v>174</v>
      </c>
      <c r="D71" s="12" t="s">
        <v>170</v>
      </c>
      <c r="E71" s="13">
        <v>1168.6099999999999</v>
      </c>
      <c r="F71" s="13">
        <v>116.86099999999999</v>
      </c>
      <c r="G71" s="13">
        <v>1051.7489999999998</v>
      </c>
    </row>
    <row r="72" spans="2:7" x14ac:dyDescent="0.25">
      <c r="B72" s="16" t="s">
        <v>240</v>
      </c>
      <c r="C72" s="16" t="s">
        <v>174</v>
      </c>
      <c r="D72" s="12" t="s">
        <v>172</v>
      </c>
      <c r="E72" s="13">
        <v>2355.0300000000002</v>
      </c>
      <c r="F72" s="13">
        <v>353.25450000000001</v>
      </c>
      <c r="G72" s="13">
        <v>2001.7755000000002</v>
      </c>
    </row>
    <row r="73" spans="2:7" x14ac:dyDescent="0.25">
      <c r="B73" s="16" t="s">
        <v>241</v>
      </c>
      <c r="C73" s="16" t="s">
        <v>174</v>
      </c>
      <c r="D73" s="12" t="s">
        <v>172</v>
      </c>
      <c r="E73" s="13">
        <v>1867.31</v>
      </c>
      <c r="F73" s="13">
        <v>280.09649999999999</v>
      </c>
      <c r="G73" s="13">
        <v>1587.2134999999998</v>
      </c>
    </row>
    <row r="74" spans="2:7" x14ac:dyDescent="0.25">
      <c r="B74" s="16" t="s">
        <v>242</v>
      </c>
      <c r="C74" s="16" t="s">
        <v>169</v>
      </c>
      <c r="D74" s="12" t="s">
        <v>172</v>
      </c>
      <c r="E74" s="13">
        <v>452.1</v>
      </c>
      <c r="F74" s="13">
        <v>67.814999999999998</v>
      </c>
      <c r="G74" s="13">
        <v>384.28500000000003</v>
      </c>
    </row>
    <row r="75" spans="2:7" x14ac:dyDescent="0.25">
      <c r="B75" s="16" t="s">
        <v>243</v>
      </c>
      <c r="C75" s="16" t="s">
        <v>193</v>
      </c>
      <c r="D75" s="12" t="s">
        <v>170</v>
      </c>
      <c r="E75" s="13">
        <v>3029.07</v>
      </c>
      <c r="F75" s="13">
        <v>302.90700000000004</v>
      </c>
      <c r="G75" s="13">
        <v>2726.163</v>
      </c>
    </row>
    <row r="76" spans="2:7" x14ac:dyDescent="0.25">
      <c r="B76" s="16" t="s">
        <v>244</v>
      </c>
      <c r="C76" s="16" t="s">
        <v>174</v>
      </c>
      <c r="D76" s="12" t="s">
        <v>170</v>
      </c>
      <c r="E76" s="13">
        <v>1957.73</v>
      </c>
      <c r="F76" s="13">
        <v>195.77300000000002</v>
      </c>
      <c r="G76" s="13">
        <v>1761.9569999999999</v>
      </c>
    </row>
    <row r="77" spans="2:7" x14ac:dyDescent="0.25">
      <c r="B77" s="16" t="s">
        <v>245</v>
      </c>
      <c r="C77" s="16" t="s">
        <v>174</v>
      </c>
      <c r="D77" s="12" t="s">
        <v>172</v>
      </c>
      <c r="E77" s="13">
        <v>2390.65</v>
      </c>
      <c r="F77" s="13">
        <v>358.59750000000003</v>
      </c>
      <c r="G77" s="13">
        <v>2032.0525</v>
      </c>
    </row>
    <row r="78" spans="2:7" x14ac:dyDescent="0.25">
      <c r="B78" s="16" t="s">
        <v>246</v>
      </c>
      <c r="C78" s="16" t="s">
        <v>193</v>
      </c>
      <c r="D78" s="12" t="s">
        <v>170</v>
      </c>
      <c r="E78" s="13">
        <v>3027.7</v>
      </c>
      <c r="F78" s="13">
        <v>302.77</v>
      </c>
      <c r="G78" s="13">
        <v>2724.93</v>
      </c>
    </row>
    <row r="79" spans="2:7" x14ac:dyDescent="0.25">
      <c r="B79" s="16" t="s">
        <v>247</v>
      </c>
      <c r="C79" s="16" t="s">
        <v>174</v>
      </c>
      <c r="D79" s="12" t="s">
        <v>170</v>
      </c>
      <c r="E79" s="13">
        <v>1835.8</v>
      </c>
      <c r="F79" s="13">
        <v>183.58</v>
      </c>
      <c r="G79" s="13">
        <v>1652.22</v>
      </c>
    </row>
    <row r="80" spans="2:7" x14ac:dyDescent="0.25">
      <c r="B80" s="16" t="s">
        <v>248</v>
      </c>
      <c r="C80" s="16" t="s">
        <v>181</v>
      </c>
      <c r="D80" s="12" t="s">
        <v>170</v>
      </c>
      <c r="E80" s="13">
        <v>657.6</v>
      </c>
      <c r="F80" s="13">
        <v>65.760000000000005</v>
      </c>
      <c r="G80" s="13">
        <v>591.84</v>
      </c>
    </row>
    <row r="81" spans="2:7" x14ac:dyDescent="0.25">
      <c r="B81" s="16" t="s">
        <v>249</v>
      </c>
      <c r="C81" s="16" t="s">
        <v>174</v>
      </c>
      <c r="D81" s="12" t="s">
        <v>170</v>
      </c>
      <c r="E81" s="13">
        <v>2752.33</v>
      </c>
      <c r="F81" s="13">
        <v>275.233</v>
      </c>
      <c r="G81" s="13">
        <v>2477.0969999999998</v>
      </c>
    </row>
    <row r="82" spans="2:7" x14ac:dyDescent="0.25">
      <c r="B82" s="16" t="s">
        <v>250</v>
      </c>
      <c r="C82" s="16" t="s">
        <v>174</v>
      </c>
      <c r="D82" s="12" t="s">
        <v>172</v>
      </c>
      <c r="E82" s="13">
        <v>2889.33</v>
      </c>
      <c r="F82" s="13">
        <v>433.39949999999999</v>
      </c>
      <c r="G82" s="13">
        <v>2455.9304999999999</v>
      </c>
    </row>
    <row r="83" spans="2:7" x14ac:dyDescent="0.25">
      <c r="B83" s="16" t="s">
        <v>251</v>
      </c>
      <c r="C83" s="16" t="s">
        <v>174</v>
      </c>
      <c r="D83" s="12" t="s">
        <v>172</v>
      </c>
      <c r="E83" s="13">
        <v>1209.71</v>
      </c>
      <c r="F83" s="13">
        <v>181.45650000000001</v>
      </c>
      <c r="G83" s="13">
        <v>1028.2535</v>
      </c>
    </row>
    <row r="84" spans="2:7" x14ac:dyDescent="0.25">
      <c r="B84" s="16" t="s">
        <v>252</v>
      </c>
      <c r="C84" s="16" t="s">
        <v>169</v>
      </c>
      <c r="D84" s="12" t="s">
        <v>172</v>
      </c>
      <c r="E84" s="13">
        <v>245.23</v>
      </c>
      <c r="F84" s="13">
        <v>36.784499999999994</v>
      </c>
      <c r="G84" s="13">
        <v>208.44549999999998</v>
      </c>
    </row>
    <row r="85" spans="2:7" x14ac:dyDescent="0.25">
      <c r="B85" s="16" t="s">
        <v>253</v>
      </c>
      <c r="C85" s="16" t="s">
        <v>177</v>
      </c>
      <c r="D85" s="12" t="s">
        <v>172</v>
      </c>
      <c r="E85" s="13">
        <v>982.29</v>
      </c>
      <c r="F85" s="13">
        <v>147.34349999999998</v>
      </c>
      <c r="G85" s="13">
        <v>834.94650000000001</v>
      </c>
    </row>
    <row r="86" spans="2:7" x14ac:dyDescent="0.25">
      <c r="B86" s="16" t="s">
        <v>254</v>
      </c>
      <c r="C86" s="16" t="s">
        <v>169</v>
      </c>
      <c r="D86" s="12" t="s">
        <v>170</v>
      </c>
      <c r="E86" s="13">
        <v>278.79500000000002</v>
      </c>
      <c r="F86" s="13">
        <v>27.879500000000004</v>
      </c>
      <c r="G86" s="13">
        <v>250.91550000000001</v>
      </c>
    </row>
    <row r="87" spans="2:7" x14ac:dyDescent="0.25">
      <c r="B87" s="16" t="s">
        <v>255</v>
      </c>
      <c r="C87" s="16" t="s">
        <v>169</v>
      </c>
      <c r="D87" s="12" t="s">
        <v>170</v>
      </c>
      <c r="E87" s="13">
        <v>223.995</v>
      </c>
      <c r="F87" s="13">
        <v>22.399500000000003</v>
      </c>
      <c r="G87" s="13">
        <v>201.59550000000002</v>
      </c>
    </row>
    <row r="88" spans="2:7" x14ac:dyDescent="0.25">
      <c r="B88" s="16" t="s">
        <v>256</v>
      </c>
      <c r="C88" s="16" t="s">
        <v>174</v>
      </c>
      <c r="D88" s="12" t="s">
        <v>172</v>
      </c>
      <c r="E88" s="13">
        <v>2593.41</v>
      </c>
      <c r="F88" s="13">
        <v>389.01149999999996</v>
      </c>
      <c r="G88" s="13">
        <v>2204.3984999999998</v>
      </c>
    </row>
    <row r="89" spans="2:7" x14ac:dyDescent="0.25">
      <c r="B89" s="16" t="s">
        <v>257</v>
      </c>
      <c r="C89" s="16" t="s">
        <v>174</v>
      </c>
      <c r="D89" s="12" t="s">
        <v>170</v>
      </c>
      <c r="E89" s="13">
        <v>1961.84</v>
      </c>
      <c r="F89" s="13">
        <v>196.184</v>
      </c>
      <c r="G89" s="13">
        <v>1765.6559999999999</v>
      </c>
    </row>
    <row r="90" spans="2:7" x14ac:dyDescent="0.25">
      <c r="B90" s="16" t="s">
        <v>258</v>
      </c>
      <c r="C90" s="16" t="s">
        <v>174</v>
      </c>
      <c r="D90" s="12" t="s">
        <v>172</v>
      </c>
      <c r="E90" s="13">
        <v>2202.96</v>
      </c>
      <c r="F90" s="13">
        <v>330.44400000000002</v>
      </c>
      <c r="G90" s="13">
        <v>1872.5160000000001</v>
      </c>
    </row>
    <row r="91" spans="2:7" x14ac:dyDescent="0.25">
      <c r="B91" s="16" t="s">
        <v>259</v>
      </c>
      <c r="C91" s="16" t="s">
        <v>174</v>
      </c>
      <c r="D91" s="12" t="s">
        <v>170</v>
      </c>
      <c r="E91" s="13">
        <v>1113.81</v>
      </c>
      <c r="F91" s="13">
        <v>111.381</v>
      </c>
      <c r="G91" s="13">
        <v>1002.429</v>
      </c>
    </row>
    <row r="92" spans="2:7" x14ac:dyDescent="0.25">
      <c r="B92" s="16" t="s">
        <v>260</v>
      </c>
      <c r="C92" s="16" t="s">
        <v>174</v>
      </c>
      <c r="D92" s="12" t="s">
        <v>170</v>
      </c>
      <c r="E92" s="13">
        <v>2511.21</v>
      </c>
      <c r="F92" s="13">
        <v>251.12100000000001</v>
      </c>
      <c r="G92" s="13">
        <v>2260.0889999999999</v>
      </c>
    </row>
    <row r="93" spans="2:7" x14ac:dyDescent="0.25">
      <c r="B93" s="16" t="s">
        <v>261</v>
      </c>
      <c r="C93" s="16" t="s">
        <v>177</v>
      </c>
      <c r="D93" s="12" t="s">
        <v>172</v>
      </c>
      <c r="E93" s="13">
        <v>1011.06</v>
      </c>
      <c r="F93" s="13">
        <v>151.65899999999999</v>
      </c>
      <c r="G93" s="13">
        <v>859.40099999999995</v>
      </c>
    </row>
    <row r="94" spans="2:7" x14ac:dyDescent="0.25">
      <c r="B94" s="16" t="s">
        <v>262</v>
      </c>
      <c r="C94" s="16" t="s">
        <v>174</v>
      </c>
      <c r="D94" s="12" t="s">
        <v>170</v>
      </c>
      <c r="E94" s="13">
        <v>2750.96</v>
      </c>
      <c r="F94" s="13">
        <v>275.096</v>
      </c>
      <c r="G94" s="13">
        <v>2475.864</v>
      </c>
    </row>
    <row r="95" spans="2:7" x14ac:dyDescent="0.25">
      <c r="B95" s="16" t="s">
        <v>263</v>
      </c>
      <c r="C95" s="16" t="s">
        <v>169</v>
      </c>
      <c r="D95" s="12" t="s">
        <v>172</v>
      </c>
      <c r="E95" s="13">
        <v>381.75049999999999</v>
      </c>
      <c r="F95" s="13">
        <v>57.262574999999998</v>
      </c>
      <c r="G95" s="13">
        <v>324.48792500000002</v>
      </c>
    </row>
    <row r="96" spans="2:7" x14ac:dyDescent="0.25">
      <c r="B96" s="16" t="s">
        <v>264</v>
      </c>
      <c r="C96" s="16" t="s">
        <v>174</v>
      </c>
      <c r="D96" s="12" t="s">
        <v>170</v>
      </c>
      <c r="E96" s="13">
        <v>2722.19</v>
      </c>
      <c r="F96" s="13">
        <v>272.21899999999999</v>
      </c>
      <c r="G96" s="13">
        <v>2449.971</v>
      </c>
    </row>
    <row r="97" spans="2:7" x14ac:dyDescent="0.25">
      <c r="B97" s="16" t="s">
        <v>265</v>
      </c>
      <c r="C97" s="16" t="s">
        <v>174</v>
      </c>
      <c r="D97" s="12" t="s">
        <v>172</v>
      </c>
      <c r="E97" s="13">
        <v>1360.41</v>
      </c>
      <c r="F97" s="13">
        <v>204.0615</v>
      </c>
      <c r="G97" s="13">
        <v>1156.3485000000001</v>
      </c>
    </row>
    <row r="98" spans="2:7" x14ac:dyDescent="0.25">
      <c r="B98" s="16" t="s">
        <v>266</v>
      </c>
      <c r="C98" s="16" t="s">
        <v>174</v>
      </c>
      <c r="D98" s="12" t="s">
        <v>172</v>
      </c>
      <c r="E98" s="13">
        <v>2453.67</v>
      </c>
      <c r="F98" s="13">
        <v>368.0505</v>
      </c>
      <c r="G98" s="13">
        <v>2085.6195000000002</v>
      </c>
    </row>
    <row r="99" spans="2:7" x14ac:dyDescent="0.25">
      <c r="B99" s="16" t="s">
        <v>267</v>
      </c>
      <c r="C99" s="16" t="s">
        <v>174</v>
      </c>
      <c r="D99" s="12" t="s">
        <v>170</v>
      </c>
      <c r="E99" s="13">
        <v>1400.14</v>
      </c>
      <c r="F99" s="13">
        <v>140.01400000000001</v>
      </c>
      <c r="G99" s="13">
        <v>1260.1260000000002</v>
      </c>
    </row>
    <row r="100" spans="2:7" x14ac:dyDescent="0.25">
      <c r="B100" s="16" t="s">
        <v>268</v>
      </c>
      <c r="C100" s="16" t="s">
        <v>181</v>
      </c>
      <c r="D100" s="12" t="s">
        <v>172</v>
      </c>
      <c r="E100" s="13">
        <v>616.97950000000003</v>
      </c>
      <c r="F100" s="13">
        <v>92.546925000000002</v>
      </c>
      <c r="G100" s="13">
        <v>524.43257500000004</v>
      </c>
    </row>
    <row r="101" spans="2:7" x14ac:dyDescent="0.25">
      <c r="B101" s="16" t="s">
        <v>269</v>
      </c>
      <c r="C101" s="16" t="s">
        <v>174</v>
      </c>
      <c r="D101" s="12" t="s">
        <v>172</v>
      </c>
      <c r="E101" s="13">
        <v>1338.49</v>
      </c>
      <c r="F101" s="13">
        <v>200.77349999999998</v>
      </c>
      <c r="G101" s="13">
        <v>1137.7165</v>
      </c>
    </row>
    <row r="102" spans="2:7" x14ac:dyDescent="0.25">
      <c r="B102" s="16" t="s">
        <v>270</v>
      </c>
      <c r="C102" s="16" t="s">
        <v>193</v>
      </c>
      <c r="D102" s="12" t="s">
        <v>170</v>
      </c>
      <c r="E102" s="13">
        <v>3186.62</v>
      </c>
      <c r="F102" s="13">
        <v>318.66200000000003</v>
      </c>
      <c r="G102" s="13">
        <v>2867.9579999999996</v>
      </c>
    </row>
    <row r="103" spans="2:7" x14ac:dyDescent="0.25">
      <c r="B103" s="16" t="s">
        <v>271</v>
      </c>
      <c r="C103" s="16" t="s">
        <v>174</v>
      </c>
      <c r="D103" s="12" t="s">
        <v>170</v>
      </c>
      <c r="E103" s="13">
        <v>2281.0500000000002</v>
      </c>
      <c r="F103" s="13">
        <v>228.10499999999999</v>
      </c>
      <c r="G103" s="13">
        <v>2052.9450000000002</v>
      </c>
    </row>
    <row r="104" spans="2:7" x14ac:dyDescent="0.25">
      <c r="B104" s="16" t="s">
        <v>272</v>
      </c>
      <c r="C104" s="16" t="s">
        <v>169</v>
      </c>
      <c r="D104" s="12" t="s">
        <v>172</v>
      </c>
      <c r="E104" s="13">
        <v>153.44</v>
      </c>
      <c r="F104" s="13">
        <v>23.015999999999998</v>
      </c>
      <c r="G104" s="13">
        <v>130.42400000000001</v>
      </c>
    </row>
    <row r="105" spans="2:7" x14ac:dyDescent="0.25">
      <c r="B105" s="16" t="s">
        <v>273</v>
      </c>
      <c r="C105" s="16" t="s">
        <v>174</v>
      </c>
      <c r="D105" s="12" t="s">
        <v>172</v>
      </c>
      <c r="E105" s="13">
        <v>1653.59</v>
      </c>
      <c r="F105" s="13">
        <v>248.03849999999997</v>
      </c>
      <c r="G105" s="13">
        <v>1405.5515</v>
      </c>
    </row>
    <row r="106" spans="2:7" x14ac:dyDescent="0.25">
      <c r="B106" s="16" t="s">
        <v>274</v>
      </c>
      <c r="C106" s="16" t="s">
        <v>174</v>
      </c>
      <c r="D106" s="12" t="s">
        <v>170</v>
      </c>
      <c r="E106" s="13">
        <v>2381.06</v>
      </c>
      <c r="F106" s="13">
        <v>238.10599999999999</v>
      </c>
      <c r="G106" s="13">
        <v>2142.9539999999997</v>
      </c>
    </row>
    <row r="107" spans="2:7" x14ac:dyDescent="0.25">
      <c r="B107" s="16" t="s">
        <v>275</v>
      </c>
      <c r="C107" s="16" t="s">
        <v>193</v>
      </c>
      <c r="D107" s="12" t="s">
        <v>170</v>
      </c>
      <c r="E107" s="13">
        <v>2812.61</v>
      </c>
      <c r="F107" s="13">
        <v>281.26100000000002</v>
      </c>
      <c r="G107" s="13">
        <v>2531.3490000000002</v>
      </c>
    </row>
    <row r="108" spans="2:7" x14ac:dyDescent="0.25">
      <c r="B108" s="16" t="s">
        <v>276</v>
      </c>
      <c r="C108" s="16" t="s">
        <v>169</v>
      </c>
      <c r="D108" s="12" t="s">
        <v>172</v>
      </c>
      <c r="E108" s="13">
        <v>308.25</v>
      </c>
      <c r="F108" s="13">
        <v>46.237499999999997</v>
      </c>
      <c r="G108" s="13">
        <v>262.01249999999999</v>
      </c>
    </row>
    <row r="109" spans="2:7" x14ac:dyDescent="0.25">
      <c r="B109" s="16" t="s">
        <v>277</v>
      </c>
      <c r="C109" s="16" t="s">
        <v>174</v>
      </c>
      <c r="D109" s="12" t="s">
        <v>170</v>
      </c>
      <c r="E109" s="13">
        <v>2090.62</v>
      </c>
      <c r="F109" s="13">
        <v>209.06200000000001</v>
      </c>
      <c r="G109" s="13">
        <v>1881.558</v>
      </c>
    </row>
    <row r="110" spans="2:7" x14ac:dyDescent="0.25">
      <c r="B110" s="16" t="s">
        <v>278</v>
      </c>
      <c r="C110" s="16" t="s">
        <v>174</v>
      </c>
      <c r="D110" s="12" t="s">
        <v>170</v>
      </c>
      <c r="E110" s="13">
        <v>2212.5500000000002</v>
      </c>
      <c r="F110" s="13">
        <v>221.255</v>
      </c>
      <c r="G110" s="13">
        <v>1991.2950000000001</v>
      </c>
    </row>
    <row r="111" spans="2:7" x14ac:dyDescent="0.25">
      <c r="B111" s="16" t="s">
        <v>279</v>
      </c>
      <c r="C111" s="16" t="s">
        <v>174</v>
      </c>
      <c r="D111" s="12" t="s">
        <v>172</v>
      </c>
      <c r="E111" s="13">
        <v>2922.21</v>
      </c>
      <c r="F111" s="13">
        <v>438.33150000000001</v>
      </c>
      <c r="G111" s="13">
        <v>2483.8784999999998</v>
      </c>
    </row>
    <row r="112" spans="2:7" x14ac:dyDescent="0.25">
      <c r="B112" s="16" t="s">
        <v>280</v>
      </c>
      <c r="C112" s="16" t="s">
        <v>193</v>
      </c>
      <c r="D112" s="12" t="s">
        <v>172</v>
      </c>
      <c r="E112" s="13">
        <v>2986.6</v>
      </c>
      <c r="F112" s="13">
        <v>447.99</v>
      </c>
      <c r="G112" s="13">
        <v>2538.61</v>
      </c>
    </row>
    <row r="113" spans="2:7" x14ac:dyDescent="0.25">
      <c r="B113" s="16" t="s">
        <v>281</v>
      </c>
      <c r="C113" s="16" t="s">
        <v>174</v>
      </c>
      <c r="D113" s="12" t="s">
        <v>170</v>
      </c>
      <c r="E113" s="13">
        <v>1069.97</v>
      </c>
      <c r="F113" s="13">
        <v>106.99700000000001</v>
      </c>
      <c r="G113" s="13">
        <v>962.97299999999996</v>
      </c>
    </row>
    <row r="114" spans="2:7" x14ac:dyDescent="0.25">
      <c r="B114" s="16" t="s">
        <v>282</v>
      </c>
      <c r="C114" s="16" t="s">
        <v>174</v>
      </c>
      <c r="D114" s="12" t="s">
        <v>172</v>
      </c>
      <c r="E114" s="13">
        <v>1452.2</v>
      </c>
      <c r="F114" s="13">
        <v>217.83</v>
      </c>
      <c r="G114" s="13">
        <v>1234.3699999999999</v>
      </c>
    </row>
    <row r="115" spans="2:7" x14ac:dyDescent="0.25">
      <c r="B115" s="16" t="s">
        <v>283</v>
      </c>
      <c r="C115" s="16" t="s">
        <v>174</v>
      </c>
      <c r="D115" s="12" t="s">
        <v>172</v>
      </c>
      <c r="E115" s="13">
        <v>2493.4</v>
      </c>
      <c r="F115" s="13">
        <v>374.01</v>
      </c>
      <c r="G115" s="13">
        <v>2119.39</v>
      </c>
    </row>
    <row r="116" spans="2:7" x14ac:dyDescent="0.25">
      <c r="B116" s="16" t="s">
        <v>284</v>
      </c>
      <c r="C116" s="16" t="s">
        <v>174</v>
      </c>
      <c r="D116" s="12" t="s">
        <v>170</v>
      </c>
      <c r="E116" s="13">
        <v>2312.56</v>
      </c>
      <c r="F116" s="13">
        <v>231.256</v>
      </c>
      <c r="G116" s="13">
        <v>2081.3040000000001</v>
      </c>
    </row>
    <row r="117" spans="2:7" x14ac:dyDescent="0.25">
      <c r="B117" s="16" t="s">
        <v>285</v>
      </c>
      <c r="C117" s="16" t="s">
        <v>174</v>
      </c>
      <c r="D117" s="12" t="s">
        <v>170</v>
      </c>
      <c r="E117" s="13">
        <v>1776.89</v>
      </c>
      <c r="F117" s="13">
        <v>177.68900000000002</v>
      </c>
      <c r="G117" s="13">
        <v>1599.201</v>
      </c>
    </row>
    <row r="118" spans="2:7" x14ac:dyDescent="0.25">
      <c r="B118" s="16" t="s">
        <v>286</v>
      </c>
      <c r="C118" s="16" t="s">
        <v>169</v>
      </c>
      <c r="D118" s="12" t="s">
        <v>170</v>
      </c>
      <c r="E118" s="13">
        <v>436.0025</v>
      </c>
      <c r="F118" s="13">
        <v>43.600250000000003</v>
      </c>
      <c r="G118" s="13">
        <v>392.40224999999998</v>
      </c>
    </row>
    <row r="119" spans="2:7" x14ac:dyDescent="0.25">
      <c r="B119" s="16" t="s">
        <v>287</v>
      </c>
      <c r="C119" s="16" t="s">
        <v>181</v>
      </c>
      <c r="D119" s="12" t="s">
        <v>172</v>
      </c>
      <c r="E119" s="13">
        <v>665.82</v>
      </c>
      <c r="F119" s="13">
        <v>99.873000000000005</v>
      </c>
      <c r="G119" s="13">
        <v>565.947</v>
      </c>
    </row>
    <row r="120" spans="2:7" x14ac:dyDescent="0.25">
      <c r="B120" s="16" t="s">
        <v>288</v>
      </c>
      <c r="C120" s="16" t="s">
        <v>193</v>
      </c>
      <c r="D120" s="12" t="s">
        <v>172</v>
      </c>
      <c r="E120" s="13">
        <v>3115.38</v>
      </c>
      <c r="F120" s="13">
        <v>467.30700000000002</v>
      </c>
      <c r="G120" s="13">
        <v>2648.0730000000003</v>
      </c>
    </row>
    <row r="121" spans="2:7" x14ac:dyDescent="0.25">
      <c r="B121" s="16" t="s">
        <v>289</v>
      </c>
      <c r="C121" s="16" t="s">
        <v>174</v>
      </c>
      <c r="D121" s="12" t="s">
        <v>172</v>
      </c>
      <c r="E121" s="13">
        <v>2242.69</v>
      </c>
      <c r="F121" s="13">
        <v>336.40350000000001</v>
      </c>
      <c r="G121" s="13">
        <v>1906.2865000000002</v>
      </c>
    </row>
    <row r="122" spans="2:7" x14ac:dyDescent="0.25">
      <c r="B122" s="16" t="s">
        <v>290</v>
      </c>
      <c r="C122" s="16" t="s">
        <v>193</v>
      </c>
      <c r="D122" s="12" t="s">
        <v>170</v>
      </c>
      <c r="E122" s="13">
        <v>2788.1555000000003</v>
      </c>
      <c r="F122" s="13">
        <v>278.81555000000003</v>
      </c>
      <c r="G122" s="13">
        <v>2509.3399500000005</v>
      </c>
    </row>
    <row r="123" spans="2:7" x14ac:dyDescent="0.25">
      <c r="B123" s="16" t="s">
        <v>291</v>
      </c>
      <c r="C123" s="16" t="s">
        <v>174</v>
      </c>
      <c r="D123" s="12" t="s">
        <v>172</v>
      </c>
      <c r="E123" s="13">
        <v>2093.36</v>
      </c>
      <c r="F123" s="13">
        <v>314.00400000000002</v>
      </c>
      <c r="G123" s="13">
        <v>1779.3560000000002</v>
      </c>
    </row>
    <row r="124" spans="2:7" x14ac:dyDescent="0.25">
      <c r="B124" s="16" t="s">
        <v>292</v>
      </c>
      <c r="C124" s="16" t="s">
        <v>193</v>
      </c>
      <c r="D124" s="12" t="s">
        <v>170</v>
      </c>
      <c r="E124" s="13">
        <v>3081.13</v>
      </c>
      <c r="F124" s="13">
        <v>308.11300000000006</v>
      </c>
      <c r="G124" s="13">
        <v>2773.0169999999998</v>
      </c>
    </row>
    <row r="125" spans="2:7" x14ac:dyDescent="0.25">
      <c r="B125" s="16" t="s">
        <v>293</v>
      </c>
      <c r="C125" s="16" t="s">
        <v>174</v>
      </c>
      <c r="D125" s="12" t="s">
        <v>170</v>
      </c>
      <c r="E125" s="13">
        <v>2570.12</v>
      </c>
      <c r="F125" s="13">
        <v>257.012</v>
      </c>
      <c r="G125" s="13">
        <v>2313.1079999999997</v>
      </c>
    </row>
    <row r="126" spans="2:7" x14ac:dyDescent="0.25">
      <c r="B126" s="16" t="s">
        <v>294</v>
      </c>
      <c r="C126" s="16" t="s">
        <v>169</v>
      </c>
      <c r="D126" s="12" t="s">
        <v>170</v>
      </c>
      <c r="E126" s="13">
        <v>284.95999999999998</v>
      </c>
      <c r="F126" s="13">
        <v>28.495999999999999</v>
      </c>
      <c r="G126" s="13">
        <v>256.464</v>
      </c>
    </row>
    <row r="127" spans="2:7" x14ac:dyDescent="0.25">
      <c r="B127" s="16" t="s">
        <v>295</v>
      </c>
      <c r="C127" s="16" t="s">
        <v>174</v>
      </c>
      <c r="D127" s="12" t="s">
        <v>170</v>
      </c>
      <c r="E127" s="13">
        <v>2624.92</v>
      </c>
      <c r="F127" s="13">
        <v>262.49200000000002</v>
      </c>
      <c r="G127" s="13">
        <v>2362.4279999999999</v>
      </c>
    </row>
    <row r="128" spans="2:7" x14ac:dyDescent="0.25">
      <c r="B128" s="16" t="s">
        <v>296</v>
      </c>
      <c r="C128" s="16" t="s">
        <v>174</v>
      </c>
      <c r="D128" s="12" t="s">
        <v>172</v>
      </c>
      <c r="E128" s="13">
        <v>1891.97</v>
      </c>
      <c r="F128" s="13">
        <v>283.7955</v>
      </c>
      <c r="G128" s="13">
        <v>1608.1745000000001</v>
      </c>
    </row>
    <row r="129" spans="2:7" x14ac:dyDescent="0.25">
      <c r="B129" s="16" t="s">
        <v>297</v>
      </c>
      <c r="C129" s="16" t="s">
        <v>169</v>
      </c>
      <c r="D129" s="12" t="s">
        <v>172</v>
      </c>
      <c r="E129" s="13">
        <v>147.80930000000001</v>
      </c>
      <c r="F129" s="13">
        <v>22.171395</v>
      </c>
      <c r="G129" s="13">
        <v>125.637905</v>
      </c>
    </row>
    <row r="130" spans="2:7" x14ac:dyDescent="0.25">
      <c r="B130" s="16" t="s">
        <v>298</v>
      </c>
      <c r="C130" s="16" t="s">
        <v>174</v>
      </c>
      <c r="D130" s="12" t="s">
        <v>170</v>
      </c>
      <c r="E130" s="13">
        <v>1531.66</v>
      </c>
      <c r="F130" s="13">
        <v>153.16600000000003</v>
      </c>
      <c r="G130" s="13">
        <v>1378.4940000000001</v>
      </c>
    </row>
    <row r="131" spans="2:7" x14ac:dyDescent="0.25">
      <c r="B131" s="16" t="s">
        <v>299</v>
      </c>
      <c r="C131" s="16" t="s">
        <v>174</v>
      </c>
      <c r="D131" s="12" t="s">
        <v>170</v>
      </c>
      <c r="E131" s="13">
        <v>2241.3200000000002</v>
      </c>
      <c r="F131" s="13">
        <v>224.13200000000003</v>
      </c>
      <c r="G131" s="13">
        <v>2017.1880000000001</v>
      </c>
    </row>
  </sheetData>
  <mergeCells count="3">
    <mergeCell ref="B1:C2"/>
    <mergeCell ref="D1:H3"/>
    <mergeCell ref="B3:C3"/>
  </mergeCells>
  <pageMargins left="0.78740157499999996" right="0.78740157499999996" top="0.984251969" bottom="0.984251969" header="0.49212598499999999" footer="0.49212598499999999"/>
  <pageSetup orientation="portrait" verticalDpi="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174BF8F48870D49A65DA3EA907CAB8D" ma:contentTypeVersion="15" ma:contentTypeDescription="Crie um novo documento." ma:contentTypeScope="" ma:versionID="16b8cf75427b99ea2715904b2468d5fd">
  <xsd:schema xmlns:xsd="http://www.w3.org/2001/XMLSchema" xmlns:xs="http://www.w3.org/2001/XMLSchema" xmlns:p="http://schemas.microsoft.com/office/2006/metadata/properties" xmlns:ns2="cbb4d7a3-5c07-4bf5-b85d-bc2391539529" xmlns:ns3="e91dcd25-9560-4825-b4a9-3ba743c0900f" targetNamespace="http://schemas.microsoft.com/office/2006/metadata/properties" ma:root="true" ma:fieldsID="2ebbcff35b93358a01f36b805339c662" ns2:_="" ns3:_="">
    <xsd:import namespace="cbb4d7a3-5c07-4bf5-b85d-bc2391539529"/>
    <xsd:import namespace="e91dcd25-9560-4825-b4a9-3ba743c090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b4d7a3-5c07-4bf5-b85d-bc23915395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0d179948-fc24-43cd-a33f-e8da3cc9ae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dcd25-9560-4825-b4a9-3ba743c0900f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af2c0bf4-c5c5-43da-b4ca-2dde7dcde375}" ma:internalName="TaxCatchAll" ma:showField="CatchAllData" ma:web="e91dcd25-9560-4825-b4a9-3ba743c090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C54BFF5-67BA-4C63-AE8B-039168DF12A7}"/>
</file>

<file path=customXml/itemProps2.xml><?xml version="1.0" encoding="utf-8"?>
<ds:datastoreItem xmlns:ds="http://schemas.openxmlformats.org/officeDocument/2006/customXml" ds:itemID="{84D419B0-9816-47CF-B900-BAC158E50F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Empresa C</vt:lpstr>
      <vt:lpstr>CRM</vt:lpstr>
      <vt:lpstr>Vôos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Quinhones</dc:creator>
  <cp:lastModifiedBy>Voitto</cp:lastModifiedBy>
  <dcterms:created xsi:type="dcterms:W3CDTF">2013-09-08T14:02:31Z</dcterms:created>
  <dcterms:modified xsi:type="dcterms:W3CDTF">2019-08-23T12:03:02Z</dcterms:modified>
</cp:coreProperties>
</file>
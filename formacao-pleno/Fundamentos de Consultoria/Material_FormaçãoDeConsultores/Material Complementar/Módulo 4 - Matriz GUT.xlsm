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vbaProject.bin" ContentType="application/vnd.ms-office.vbaProject"/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ucas Delgado\Desktop\Treinamento de Consultores\Bloco A\Materiais complementares\"/>
    </mc:Choice>
  </mc:AlternateContent>
  <bookViews>
    <workbookView xWindow="720" yWindow="345" windowWidth="17955" windowHeight="8220" tabRatio="875"/>
  </bookViews>
  <sheets>
    <sheet name="1. Instruções" sheetId="17" r:id="rId1"/>
    <sheet name="2. Problemas" sheetId="1" r:id="rId2"/>
    <sheet name="3. Ranking" sheetId="16" r:id="rId3"/>
  </sheets>
  <definedNames>
    <definedName name="_xlnm._FilterDatabase" localSheetId="0" hidden="1">'1. Instruções'!$C$7:$G$8</definedName>
    <definedName name="_xlnm._FilterDatabase" localSheetId="1" hidden="1">'2. Problemas'!$C$7:$G$8</definedName>
  </definedNames>
  <calcPr calcId="152511"/>
</workbook>
</file>

<file path=xl/calcChain.xml><?xml version="1.0" encoding="utf-8"?>
<calcChain xmlns="http://schemas.openxmlformats.org/spreadsheetml/2006/main">
  <c r="L40" i="17" l="1"/>
  <c r="K40" i="17"/>
  <c r="J40" i="17"/>
  <c r="L39" i="17"/>
  <c r="K39" i="17"/>
  <c r="J39" i="17"/>
  <c r="L38" i="17"/>
  <c r="K38" i="17"/>
  <c r="J38" i="17"/>
  <c r="L37" i="17"/>
  <c r="K37" i="17"/>
  <c r="J37" i="17"/>
  <c r="L36" i="17"/>
  <c r="K36" i="17"/>
  <c r="J36" i="17"/>
  <c r="L35" i="17"/>
  <c r="K35" i="17"/>
  <c r="J35" i="17"/>
  <c r="L34" i="17"/>
  <c r="K34" i="17"/>
  <c r="J34" i="17"/>
  <c r="L33" i="17"/>
  <c r="K33" i="17"/>
  <c r="J33" i="17"/>
  <c r="L32" i="17"/>
  <c r="K32" i="17"/>
  <c r="J32" i="17"/>
  <c r="L31" i="17"/>
  <c r="K31" i="17"/>
  <c r="J31" i="17"/>
  <c r="L30" i="17"/>
  <c r="K30" i="17"/>
  <c r="J30" i="17"/>
  <c r="L29" i="17"/>
  <c r="K29" i="17"/>
  <c r="J29" i="17"/>
  <c r="L28" i="17"/>
  <c r="K28" i="17"/>
  <c r="J28" i="17"/>
  <c r="L27" i="17"/>
  <c r="K27" i="17"/>
  <c r="J27" i="17"/>
  <c r="L26" i="17"/>
  <c r="K26" i="17"/>
  <c r="J26" i="17"/>
  <c r="L25" i="17"/>
  <c r="K25" i="17"/>
  <c r="J25" i="17"/>
  <c r="L24" i="17"/>
  <c r="K24" i="17"/>
  <c r="J24" i="17"/>
  <c r="L23" i="17"/>
  <c r="K23" i="17"/>
  <c r="J23" i="17"/>
  <c r="L22" i="17"/>
  <c r="K22" i="17"/>
  <c r="J22" i="17"/>
  <c r="L21" i="17"/>
  <c r="K21" i="17"/>
  <c r="J21" i="17"/>
  <c r="L20" i="17"/>
  <c r="K20" i="17"/>
  <c r="J20" i="17"/>
  <c r="L19" i="17"/>
  <c r="K19" i="17"/>
  <c r="J19" i="17"/>
  <c r="L18" i="17"/>
  <c r="K18" i="17"/>
  <c r="J18" i="17"/>
  <c r="L17" i="17"/>
  <c r="K17" i="17"/>
  <c r="J17" i="17"/>
  <c r="L16" i="17"/>
  <c r="K16" i="17"/>
  <c r="J16" i="17"/>
  <c r="L15" i="17"/>
  <c r="K15" i="17"/>
  <c r="J15" i="17"/>
  <c r="L14" i="17"/>
  <c r="K14" i="17"/>
  <c r="J14" i="17"/>
  <c r="L13" i="17"/>
  <c r="K13" i="17"/>
  <c r="J13" i="17"/>
  <c r="L12" i="17"/>
  <c r="K12" i="17"/>
  <c r="J12" i="17"/>
  <c r="L11" i="17"/>
  <c r="K11" i="17"/>
  <c r="J11" i="17"/>
  <c r="L10" i="17"/>
  <c r="K10" i="17"/>
  <c r="J10" i="17"/>
  <c r="L9" i="17"/>
  <c r="K9" i="17"/>
  <c r="J9" i="17"/>
  <c r="M40" i="16" l="1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J40" i="1"/>
  <c r="J39" i="1"/>
  <c r="J38" i="1"/>
  <c r="J37" i="1"/>
  <c r="J36" i="1"/>
  <c r="C36" i="1" s="1"/>
  <c r="J35" i="1"/>
  <c r="J34" i="1"/>
  <c r="J33" i="1"/>
  <c r="J32" i="1"/>
  <c r="C32" i="1" s="1"/>
  <c r="J31" i="1"/>
  <c r="J30" i="1"/>
  <c r="J29" i="1"/>
  <c r="J28" i="1"/>
  <c r="C28" i="1" s="1"/>
  <c r="J27" i="1"/>
  <c r="J26" i="1"/>
  <c r="J25" i="1"/>
  <c r="J24" i="1"/>
  <c r="C24" i="1" s="1"/>
  <c r="J23" i="1"/>
  <c r="J22" i="1"/>
  <c r="J21" i="1"/>
  <c r="J20" i="1"/>
  <c r="C20" i="1" s="1"/>
  <c r="J19" i="1"/>
  <c r="J18" i="1"/>
  <c r="J17" i="1"/>
  <c r="J16" i="1"/>
  <c r="C16" i="1" s="1"/>
  <c r="J15" i="1"/>
  <c r="J14" i="1"/>
  <c r="J13" i="1"/>
  <c r="J12" i="1"/>
  <c r="C12" i="1" s="1"/>
  <c r="J11" i="1"/>
  <c r="J10" i="1"/>
  <c r="J9" i="1"/>
  <c r="C11" i="1" l="1"/>
  <c r="C10" i="1"/>
  <c r="C13" i="1"/>
  <c r="C17" i="1"/>
  <c r="C21" i="1"/>
  <c r="C25" i="1"/>
  <c r="C29" i="1"/>
  <c r="C33" i="1"/>
  <c r="C37" i="1"/>
  <c r="C9" i="1"/>
  <c r="C15" i="1"/>
  <c r="C19" i="1"/>
  <c r="C23" i="1"/>
  <c r="C27" i="1"/>
  <c r="C31" i="1"/>
  <c r="C35" i="1"/>
  <c r="C14" i="1"/>
  <c r="C22" i="1"/>
  <c r="C30" i="1"/>
  <c r="C39" i="1"/>
  <c r="C18" i="1"/>
  <c r="C26" i="1"/>
  <c r="C34" i="1"/>
  <c r="C38" i="1"/>
  <c r="C40" i="1"/>
  <c r="D29" i="16" l="1"/>
  <c r="D37" i="16"/>
  <c r="D10" i="16"/>
  <c r="D26" i="16"/>
  <c r="E26" i="16" s="1"/>
  <c r="L26" i="16" s="1"/>
  <c r="D11" i="16"/>
  <c r="E11" i="16" s="1"/>
  <c r="L11" i="16" s="1"/>
  <c r="D27" i="16"/>
  <c r="D12" i="16"/>
  <c r="D28" i="16"/>
  <c r="D9" i="16"/>
  <c r="E9" i="16" s="1"/>
  <c r="D25" i="16"/>
  <c r="D14" i="16"/>
  <c r="E14" i="16" s="1"/>
  <c r="L14" i="16" s="1"/>
  <c r="D30" i="16"/>
  <c r="E30" i="16" s="1"/>
  <c r="L30" i="16" s="1"/>
  <c r="D15" i="16"/>
  <c r="D31" i="16"/>
  <c r="E31" i="16" s="1"/>
  <c r="L31" i="16" s="1"/>
  <c r="D16" i="16"/>
  <c r="E16" i="16" s="1"/>
  <c r="L16" i="16" s="1"/>
  <c r="D32" i="16"/>
  <c r="D13" i="16"/>
  <c r="D18" i="16"/>
  <c r="E18" i="16" s="1"/>
  <c r="L18" i="16" s="1"/>
  <c r="D34" i="16"/>
  <c r="E34" i="16" s="1"/>
  <c r="L34" i="16" s="1"/>
  <c r="D19" i="16"/>
  <c r="D35" i="16"/>
  <c r="C35" i="16" s="1"/>
  <c r="D20" i="16"/>
  <c r="D36" i="16"/>
  <c r="D17" i="16"/>
  <c r="D33" i="16"/>
  <c r="K33" i="16" s="1"/>
  <c r="D22" i="16"/>
  <c r="E22" i="16" s="1"/>
  <c r="L22" i="16" s="1"/>
  <c r="D38" i="16"/>
  <c r="E38" i="16" s="1"/>
  <c r="L38" i="16" s="1"/>
  <c r="D23" i="16"/>
  <c r="D39" i="16"/>
  <c r="E39" i="16" s="1"/>
  <c r="L39" i="16" s="1"/>
  <c r="D24" i="16"/>
  <c r="D40" i="16"/>
  <c r="E40" i="16" s="1"/>
  <c r="L40" i="16" s="1"/>
  <c r="D21" i="16"/>
  <c r="K15" i="16"/>
  <c r="K16" i="16" l="1"/>
  <c r="C16" i="16"/>
  <c r="K11" i="16"/>
  <c r="K21" i="16"/>
  <c r="E21" i="16"/>
  <c r="L21" i="16" s="1"/>
  <c r="C19" i="16"/>
  <c r="E19" i="16"/>
  <c r="L19" i="16" s="1"/>
  <c r="C32" i="16"/>
  <c r="E32" i="16"/>
  <c r="L32" i="16" s="1"/>
  <c r="C36" i="16"/>
  <c r="E36" i="16"/>
  <c r="L36" i="16" s="1"/>
  <c r="K12" i="16"/>
  <c r="E12" i="16"/>
  <c r="L12" i="16" s="1"/>
  <c r="C24" i="16"/>
  <c r="E24" i="16"/>
  <c r="L24" i="16" s="1"/>
  <c r="C20" i="16"/>
  <c r="E20" i="16"/>
  <c r="L20" i="16" s="1"/>
  <c r="K25" i="16"/>
  <c r="E25" i="16"/>
  <c r="L25" i="16" s="1"/>
  <c r="C27" i="16"/>
  <c r="E27" i="16"/>
  <c r="L27" i="16" s="1"/>
  <c r="C37" i="16"/>
  <c r="E37" i="16"/>
  <c r="L37" i="16" s="1"/>
  <c r="C23" i="16"/>
  <c r="E23" i="16"/>
  <c r="L23" i="16" s="1"/>
  <c r="K17" i="16"/>
  <c r="E17" i="16"/>
  <c r="L17" i="16" s="1"/>
  <c r="C28" i="16"/>
  <c r="E28" i="16"/>
  <c r="L28" i="16" s="1"/>
  <c r="K10" i="16"/>
  <c r="E10" i="16"/>
  <c r="L10" i="16" s="1"/>
  <c r="C33" i="16"/>
  <c r="E33" i="16"/>
  <c r="L33" i="16" s="1"/>
  <c r="K35" i="16"/>
  <c r="E35" i="16"/>
  <c r="L35" i="16" s="1"/>
  <c r="K13" i="16"/>
  <c r="E13" i="16"/>
  <c r="L13" i="16" s="1"/>
  <c r="C15" i="16"/>
  <c r="E15" i="16"/>
  <c r="L15" i="16" s="1"/>
  <c r="K29" i="16"/>
  <c r="E29" i="16"/>
  <c r="L29" i="16" s="1"/>
  <c r="C29" i="16"/>
  <c r="K36" i="16"/>
  <c r="C12" i="16"/>
  <c r="L9" i="16"/>
  <c r="C13" i="16"/>
  <c r="K24" i="16"/>
  <c r="K28" i="16"/>
  <c r="C17" i="16"/>
  <c r="C21" i="16"/>
  <c r="K23" i="16"/>
  <c r="K37" i="16"/>
  <c r="C25" i="16"/>
  <c r="K20" i="16"/>
  <c r="K19" i="16"/>
  <c r="K32" i="16"/>
  <c r="K27" i="16"/>
  <c r="C22" i="16"/>
  <c r="K22" i="16"/>
  <c r="K18" i="16"/>
  <c r="C18" i="16"/>
  <c r="K31" i="16"/>
  <c r="C31" i="16"/>
  <c r="C39" i="16"/>
  <c r="K39" i="16"/>
  <c r="C30" i="16"/>
  <c r="K30" i="16"/>
  <c r="K26" i="16"/>
  <c r="C26" i="16"/>
  <c r="K40" i="16"/>
  <c r="C40" i="16"/>
  <c r="C38" i="16"/>
  <c r="K38" i="16"/>
  <c r="K34" i="16"/>
  <c r="C34" i="16"/>
  <c r="C14" i="16"/>
  <c r="K14" i="16"/>
  <c r="C9" i="16"/>
  <c r="C10" i="16" s="1"/>
  <c r="C11" i="16" s="1"/>
  <c r="K9" i="16"/>
</calcChain>
</file>

<file path=xl/sharedStrings.xml><?xml version="1.0" encoding="utf-8"?>
<sst xmlns="http://schemas.openxmlformats.org/spreadsheetml/2006/main" count="78" uniqueCount="40">
  <si>
    <t>MENU</t>
  </si>
  <si>
    <t>Problemas</t>
  </si>
  <si>
    <t>Gravidade</t>
  </si>
  <si>
    <t>Urgência</t>
  </si>
  <si>
    <t>Tendência</t>
  </si>
  <si>
    <t>Pontuação 
(GUT)</t>
  </si>
  <si>
    <t>Sem gravidade</t>
  </si>
  <si>
    <t>Pouca gravidade</t>
  </si>
  <si>
    <t>Grave</t>
  </si>
  <si>
    <t>Muito grave</t>
  </si>
  <si>
    <t>Extremamente grave</t>
  </si>
  <si>
    <t>Longuíssimo prazo</t>
  </si>
  <si>
    <t>Longo prazo</t>
  </si>
  <si>
    <t>Médio prazo</t>
  </si>
  <si>
    <t>Curto prazo</t>
  </si>
  <si>
    <t>Imediatamente</t>
  </si>
  <si>
    <t>Reduzir</t>
  </si>
  <si>
    <t>Permanecer</t>
  </si>
  <si>
    <t>Desaparecer</t>
  </si>
  <si>
    <t>Aumentar</t>
  </si>
  <si>
    <t>Piorar muito</t>
  </si>
  <si>
    <t>Ranking</t>
  </si>
  <si>
    <t>Pontuação</t>
  </si>
  <si>
    <t>Problema</t>
  </si>
  <si>
    <t>2. Problemas</t>
  </si>
  <si>
    <t>3. Ranking de prioridades</t>
  </si>
  <si>
    <t>1. Instruções</t>
  </si>
  <si>
    <t>1. INSTRUÇÕES</t>
  </si>
  <si>
    <t>2. PROBLEMAS</t>
  </si>
  <si>
    <t>3. RANKING DE PRIORIDADES</t>
  </si>
  <si>
    <t>PROBLEMAS</t>
  </si>
  <si>
    <t>RANKING DE PRIORIDADES</t>
  </si>
  <si>
    <t>1. Clique no botão "GERAR RANKING".</t>
  </si>
  <si>
    <t>1. Descreva o problema ou questão a ser classificada.</t>
  </si>
  <si>
    <t>2. Classifique-o nos critérios GUT.</t>
  </si>
  <si>
    <t>3. Faça isso para todos os problemas do seu interesse.</t>
  </si>
  <si>
    <t>2. Caso queria refazer o ranking, clique no botão "LIMPAR RANKING" antes de gerá-lo novamente.</t>
  </si>
  <si>
    <t>GERAIS</t>
  </si>
  <si>
    <t>1. Altere somente células na cor branco, isso garantirá o pleno funcionamento da planilha.</t>
  </si>
  <si>
    <t>2. Caso tenha qualquer problema, basta fechá-la sem salva e abrir novamente.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</si>
</sst>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%"/>
    <numFmt numFmtId="165" formatCode="_-&quot;R$&quot;\ * #,##0_-;\-&quot;R$&quot;\ * #,##0_-;_-&quot;R$&quot;\ * &quot;-&quot;??_-;_-@_-"/>
    <numFmt numFmtId="166" formatCode="#,###&quot;º&quot;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rgb="FF1F3026"/>
      <name val="Calibri"/>
      <family val="2"/>
      <scheme val="minor"/>
    </font>
    <font>
      <sz val="12"/>
      <color rgb="FFF2F2F2"/>
      <name val="Calibri"/>
      <family val="2"/>
      <scheme val="minor"/>
    </font>
    <font>
      <sz val="12"/>
      <color theme="1"/>
      <name val="Segoe UI"/>
      <family val="2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1F3026"/>
        <bgColor indexed="64"/>
      </patternFill>
    </fill>
  </fills>
  <borders count="25">
    <border>
      <left/>
      <right/>
      <top/>
      <bottom/>
      <diagonal/>
    </border>
    <border>
      <left/>
      <right/>
      <top style="double">
        <color theme="0"/>
      </top>
      <bottom/>
      <diagonal/>
    </border>
    <border>
      <left/>
      <right/>
      <top/>
      <bottom style="double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/>
      <right style="thick">
        <color theme="0"/>
      </right>
      <top/>
      <bottom style="thin">
        <color theme="0" tint="-0.24994659260841701"/>
      </bottom>
      <diagonal/>
    </border>
    <border>
      <left style="thick">
        <color theme="0"/>
      </left>
      <right style="thick">
        <color theme="0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/>
      </right>
      <top style="thin">
        <color theme="0" tint="-0.24994659260841701"/>
      </top>
      <bottom style="thin">
        <color theme="0"/>
      </bottom>
      <diagonal/>
    </border>
    <border>
      <left style="thin">
        <color theme="0"/>
      </left>
      <right style="thin">
        <color theme="0" tint="-0.24994659260841701"/>
      </right>
      <top style="thin">
        <color theme="0" tint="-0.24994659260841701"/>
      </top>
      <bottom style="thin">
        <color theme="0"/>
      </bottom>
      <diagonal/>
    </border>
    <border>
      <left style="thin">
        <color theme="0" tint="-0.2499465926084170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24994659260841701"/>
      </right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 style="thin">
        <color theme="0"/>
      </right>
      <top style="thin">
        <color theme="0"/>
      </top>
      <bottom style="thin">
        <color theme="0" tint="-0.24994659260841701"/>
      </bottom>
      <diagonal/>
    </border>
    <border>
      <left style="thin">
        <color theme="0"/>
      </left>
      <right style="thin">
        <color theme="0" tint="-0.24994659260841701"/>
      </right>
      <top style="thin">
        <color theme="0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 tint="-0.2499465926084170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24994659260841701"/>
      </bottom>
      <diagonal/>
    </border>
    <border>
      <left style="thick">
        <color theme="0"/>
      </left>
      <right style="thick">
        <color theme="0"/>
      </right>
      <top style="thin">
        <color theme="0" tint="-0.24994659260841701"/>
      </top>
      <bottom/>
      <diagonal/>
    </border>
    <border>
      <left style="thick">
        <color theme="0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ck">
        <color theme="0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/>
      </top>
      <bottom style="thin">
        <color theme="0" tint="-0.24994659260841701"/>
      </bottom>
      <diagonal/>
    </border>
    <border>
      <left style="thin">
        <color theme="0" tint="-0.24994659260841701"/>
      </left>
      <right style="thick">
        <color theme="0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ck">
        <color theme="0"/>
      </right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58">
    <xf numFmtId="0" fontId="0" fillId="0" borderId="0" xfId="0"/>
    <xf numFmtId="10" fontId="0" fillId="0" borderId="0" xfId="3" applyNumberFormat="1" applyFont="1"/>
    <xf numFmtId="164" fontId="0" fillId="0" borderId="0" xfId="3" applyNumberFormat="1" applyFont="1"/>
    <xf numFmtId="0" fontId="2" fillId="0" borderId="0" xfId="0" applyFont="1"/>
    <xf numFmtId="164" fontId="2" fillId="0" borderId="0" xfId="3" applyNumberFormat="1" applyFont="1"/>
    <xf numFmtId="165" fontId="0" fillId="0" borderId="0" xfId="0" applyNumberFormat="1"/>
    <xf numFmtId="9" fontId="2" fillId="0" borderId="0" xfId="3" applyFont="1"/>
    <xf numFmtId="43" fontId="0" fillId="0" borderId="0" xfId="1" applyFont="1"/>
    <xf numFmtId="9" fontId="0" fillId="0" borderId="0" xfId="3" applyNumberFormat="1" applyFont="1"/>
    <xf numFmtId="44" fontId="2" fillId="0" borderId="0" xfId="2" applyFont="1"/>
    <xf numFmtId="0" fontId="0" fillId="3" borderId="0" xfId="0" applyFill="1"/>
    <xf numFmtId="0" fontId="7" fillId="4" borderId="0" xfId="4" applyFont="1" applyFill="1" applyAlignment="1" applyProtection="1">
      <alignment horizontal="left" vertical="center"/>
    </xf>
    <xf numFmtId="0" fontId="0" fillId="4" borderId="0" xfId="0" applyFill="1" applyProtection="1"/>
    <xf numFmtId="0" fontId="10" fillId="0" borderId="0" xfId="0" applyFont="1"/>
    <xf numFmtId="0" fontId="9" fillId="2" borderId="0" xfId="0" applyFont="1" applyFill="1" applyBorder="1" applyAlignment="1" applyProtection="1">
      <alignment vertical="center"/>
    </xf>
    <xf numFmtId="0" fontId="7" fillId="4" borderId="0" xfId="0" applyFont="1" applyFill="1" applyBorder="1" applyAlignment="1" applyProtection="1">
      <alignment vertical="center"/>
    </xf>
    <xf numFmtId="10" fontId="10" fillId="0" borderId="0" xfId="0" applyNumberFormat="1" applyFont="1"/>
    <xf numFmtId="10" fontId="10" fillId="0" borderId="0" xfId="3" applyNumberFormat="1" applyFont="1"/>
    <xf numFmtId="9" fontId="10" fillId="0" borderId="0" xfId="0" applyNumberFormat="1" applyFont="1"/>
    <xf numFmtId="0" fontId="11" fillId="3" borderId="0" xfId="0" applyFont="1" applyFill="1" applyAlignment="1">
      <alignment vertical="center" wrapText="1"/>
    </xf>
    <xf numFmtId="0" fontId="11" fillId="3" borderId="0" xfId="0" applyFont="1" applyFill="1" applyAlignment="1">
      <alignment vertical="center"/>
    </xf>
    <xf numFmtId="0" fontId="10" fillId="0" borderId="0" xfId="0" applyFont="1" applyAlignment="1">
      <alignment horizontal="center" vertical="center"/>
    </xf>
    <xf numFmtId="0" fontId="6" fillId="2" borderId="0" xfId="0" applyFont="1" applyFill="1"/>
    <xf numFmtId="0" fontId="4" fillId="0" borderId="0" xfId="0" applyFont="1"/>
    <xf numFmtId="0" fontId="10" fillId="3" borderId="20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166" fontId="12" fillId="3" borderId="8" xfId="0" applyNumberFormat="1" applyFont="1" applyFill="1" applyBorder="1" applyAlignment="1">
      <alignment horizontal="center" vertical="center"/>
    </xf>
    <xf numFmtId="0" fontId="12" fillId="3" borderId="1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166" fontId="12" fillId="3" borderId="10" xfId="0" applyNumberFormat="1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/>
    </xf>
    <xf numFmtId="0" fontId="12" fillId="3" borderId="11" xfId="0" applyFont="1" applyFill="1" applyBorder="1" applyAlignment="1">
      <alignment horizontal="center" vertical="center"/>
    </xf>
    <xf numFmtId="166" fontId="12" fillId="3" borderId="12" xfId="0" applyNumberFormat="1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0" fontId="12" fillId="3" borderId="13" xfId="0" applyFont="1" applyFill="1" applyBorder="1" applyAlignment="1">
      <alignment horizontal="center" vertical="center"/>
    </xf>
    <xf numFmtId="0" fontId="7" fillId="4" borderId="0" xfId="4" applyFont="1" applyFill="1" applyBorder="1" applyAlignment="1" applyProtection="1">
      <alignment vertical="center"/>
    </xf>
    <xf numFmtId="0" fontId="10" fillId="0" borderId="3" xfId="0" applyFont="1" applyBorder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left" vertical="center"/>
    </xf>
    <xf numFmtId="0" fontId="13" fillId="0" borderId="0" xfId="0" applyFont="1"/>
    <xf numFmtId="0" fontId="7" fillId="5" borderId="0" xfId="4" applyFont="1" applyFill="1" applyBorder="1" applyAlignment="1" applyProtection="1">
      <alignment vertical="center"/>
    </xf>
    <xf numFmtId="0" fontId="7" fillId="5" borderId="0" xfId="4" applyFont="1" applyFill="1" applyAlignment="1" applyProtection="1">
      <alignment horizontal="left" vertical="center"/>
    </xf>
    <xf numFmtId="0" fontId="11" fillId="3" borderId="0" xfId="0" applyFont="1" applyFill="1" applyAlignment="1">
      <alignment horizontal="left" vertical="center" wrapText="1"/>
    </xf>
    <xf numFmtId="0" fontId="3" fillId="4" borderId="1" xfId="0" applyFont="1" applyFill="1" applyBorder="1" applyAlignment="1" applyProtection="1">
      <alignment horizontal="center" vertical="center"/>
    </xf>
    <xf numFmtId="0" fontId="3" fillId="4" borderId="2" xfId="0" applyFont="1" applyFill="1" applyBorder="1" applyAlignment="1" applyProtection="1">
      <alignment horizontal="center" vertical="center"/>
    </xf>
    <xf numFmtId="0" fontId="7" fillId="4" borderId="0" xfId="4" applyFont="1" applyFill="1" applyAlignment="1" applyProtection="1">
      <alignment horizontal="left" vertical="center" indent="2"/>
    </xf>
    <xf numFmtId="0" fontId="7" fillId="4" borderId="0" xfId="4" applyFont="1" applyFill="1" applyAlignment="1" applyProtection="1">
      <alignment horizontal="left" vertical="center"/>
    </xf>
    <xf numFmtId="0" fontId="7" fillId="4" borderId="0" xfId="4" applyFont="1" applyFill="1" applyAlignment="1" applyProtection="1">
      <alignment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 wrapText="1"/>
    </xf>
    <xf numFmtId="0" fontId="7" fillId="4" borderId="24" xfId="0" applyFont="1" applyFill="1" applyBorder="1" applyAlignment="1">
      <alignment horizontal="center" vertical="center" wrapText="1"/>
    </xf>
    <xf numFmtId="0" fontId="5" fillId="4" borderId="4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14" fillId="0" borderId="0" xfId="0" applyFont="1"/>
  </cellXfs>
  <cellStyles count="5">
    <cellStyle name="Hiperlink" xfId="4" builtinId="8"/>
    <cellStyle name="Moeda" xfId="2" builtinId="4"/>
    <cellStyle name="Normal" xfId="0" builtinId="0"/>
    <cellStyle name="Porcentagem" xfId="3" builtinId="5"/>
    <cellStyle name="Vírgula" xfId="1" builtinId="3"/>
  </cellStyles>
  <dxfs count="28"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8A968"/>
        </patternFill>
      </fill>
    </dxf>
    <dxf>
      <fill>
        <patternFill>
          <bgColor rgb="FFFF7575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8A968"/>
        </patternFill>
      </fill>
    </dxf>
    <dxf>
      <fill>
        <patternFill>
          <bgColor rgb="FFFF7575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8A968"/>
        </patternFill>
      </fill>
    </dxf>
    <dxf>
      <fill>
        <patternFill>
          <bgColor rgb="FFFF7575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8A968"/>
        </patternFill>
      </fill>
    </dxf>
    <dxf>
      <fill>
        <patternFill>
          <bgColor rgb="FFFF7575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8A968"/>
        </patternFill>
      </fill>
    </dxf>
    <dxf>
      <fill>
        <patternFill>
          <bgColor rgb="FFFF7575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8A968"/>
        </patternFill>
      </fill>
    </dxf>
    <dxf>
      <fill>
        <patternFill>
          <bgColor rgb="FFFF7575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8A968"/>
        </patternFill>
      </fill>
    </dxf>
    <dxf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1F3026"/>
      <color rgb="FFA8B166"/>
      <color rgb="FFFF7575"/>
      <color rgb="FFF8A968"/>
      <color rgb="FFA1CB77"/>
      <color rgb="FFFF4747"/>
      <color rgb="FFEE0000"/>
      <color rgb="FFF1F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213360</xdr:colOff>
      <xdr:row>1</xdr:row>
      <xdr:rowOff>61850</xdr:rowOff>
    </xdr:from>
    <xdr:to>
      <xdr:col>0</xdr:col>
      <xdr:colOff>1728630</xdr:colOff>
      <xdr:row>4</xdr:row>
      <xdr:rowOff>93973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242825"/>
          <a:ext cx="1515270" cy="575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213360</xdr:colOff>
      <xdr:row>1</xdr:row>
      <xdr:rowOff>61850</xdr:rowOff>
    </xdr:from>
    <xdr:to>
      <xdr:col>0</xdr:col>
      <xdr:colOff>1728630</xdr:colOff>
      <xdr:row>4</xdr:row>
      <xdr:rowOff>93973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240444"/>
          <a:ext cx="1515270" cy="56790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213360</xdr:colOff>
      <xdr:row>1</xdr:row>
      <xdr:rowOff>61850</xdr:rowOff>
    </xdr:from>
    <xdr:to>
      <xdr:col>0</xdr:col>
      <xdr:colOff>1728630</xdr:colOff>
      <xdr:row>4</xdr:row>
      <xdr:rowOff>93973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242825"/>
          <a:ext cx="1515270" cy="575048"/>
        </a:xfrm>
        <a:prstGeom prst="rect">
          <a:avLst/>
        </a:prstGeom>
      </xdr:spPr>
    </xdr:pic>
    <xdr:clientData/>
  </xdr:twoCellAnchor>
  <xdr:twoCellAnchor>
    <xdr:from>
      <xdr:col>5</xdr:col>
      <xdr:colOff>338666</xdr:colOff>
      <xdr:row>6</xdr:row>
      <xdr:rowOff>84666</xdr:rowOff>
    </xdr:from>
    <xdr:to>
      <xdr:col>6</xdr:col>
      <xdr:colOff>730250</xdr:colOff>
      <xdr:row>8</xdr:row>
      <xdr:rowOff>95250</xdr:rowOff>
    </xdr:to>
    <xdr:sp macro="[0]!Gerar" textlink="">
      <xdr:nvSpPr>
        <xdr:cNvPr id="3" name="Retângulo de cantos arredondados 2"/>
        <xdr:cNvSpPr/>
      </xdr:nvSpPr>
      <xdr:spPr>
        <a:xfrm>
          <a:off x="10583333" y="1164166"/>
          <a:ext cx="1873250" cy="497417"/>
        </a:xfrm>
        <a:prstGeom prst="roundRect">
          <a:avLst/>
        </a:prstGeom>
        <a:solidFill>
          <a:srgbClr val="A8B166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GERAR</a:t>
          </a:r>
          <a:r>
            <a:rPr lang="pt-BR" sz="1400" b="1" baseline="0"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RANKING</a:t>
          </a:r>
          <a:endParaRPr lang="pt-BR" sz="1400" b="1"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338666</xdr:colOff>
      <xdr:row>8</xdr:row>
      <xdr:rowOff>222249</xdr:rowOff>
    </xdr:from>
    <xdr:to>
      <xdr:col>6</xdr:col>
      <xdr:colOff>730250</xdr:colOff>
      <xdr:row>10</xdr:row>
      <xdr:rowOff>211666</xdr:rowOff>
    </xdr:to>
    <xdr:sp macro="[0]!Limpar" textlink="">
      <xdr:nvSpPr>
        <xdr:cNvPr id="4" name="Retângulo de cantos arredondados 3"/>
        <xdr:cNvSpPr/>
      </xdr:nvSpPr>
      <xdr:spPr>
        <a:xfrm>
          <a:off x="10583333" y="1788582"/>
          <a:ext cx="1873250" cy="497417"/>
        </a:xfrm>
        <a:prstGeom prst="roundRect">
          <a:avLst/>
        </a:prstGeom>
        <a:solidFill>
          <a:srgbClr val="1F3026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LIMPAR </a:t>
          </a:r>
          <a:r>
            <a:rPr lang="pt-BR" sz="1400" b="1" baseline="0"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RANKING</a:t>
          </a:r>
          <a:endParaRPr lang="pt-BR" sz="1400" b="1"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X72"/>
  <sheetViews>
    <sheetView showGridLines="0" tabSelected="1" zoomScale="90" zoomScaleNormal="90" workbookViewId="0">
      <pane xSplit="1" ySplit="6" topLeftCell="B7" activePane="bottomRight" state="frozen"/>
      <selection activeCell="C15" sqref="C15"/>
      <selection pane="topRight" activeCell="C15" sqref="C15"/>
      <selection pane="bottomLeft" activeCell="C15" sqref="C15"/>
      <selection pane="bottomRight" activeCell="D10" sqref="D10"/>
    </sheetView>
  </sheetViews>
  <sheetFormatPr defaultColWidth="0" defaultRowHeight="15.75" x14ac:dyDescent="0.25"/>
  <cols>
    <col min="1" max="1" width="28.85546875" style="12" customWidth="1"/>
    <col min="2" max="2" width="3.7109375" customWidth="1"/>
    <col min="3" max="3" width="18" style="13" customWidth="1"/>
    <col min="4" max="4" width="83.140625" style="13" customWidth="1"/>
    <col min="5" max="7" width="22.28515625" style="13" customWidth="1"/>
    <col min="8" max="9" width="14.42578125" customWidth="1"/>
    <col min="10" max="17" width="14.42578125" hidden="1" customWidth="1"/>
    <col min="18" max="18" width="12" hidden="1" customWidth="1"/>
    <col min="19" max="19" width="11.42578125" hidden="1" customWidth="1"/>
    <col min="20" max="20" width="10.42578125" hidden="1" customWidth="1"/>
    <col min="21" max="24" width="0" hidden="1" customWidth="1"/>
    <col min="25" max="16384" width="8.85546875" hidden="1"/>
  </cols>
  <sheetData>
    <row r="1" spans="1:22" ht="14.45" customHeight="1" x14ac:dyDescent="0.25">
      <c r="B1" s="10"/>
      <c r="C1" s="42" t="s">
        <v>27</v>
      </c>
      <c r="D1" s="42"/>
      <c r="E1" s="42"/>
      <c r="F1" s="42"/>
      <c r="G1" s="42"/>
      <c r="H1" s="42"/>
      <c r="I1" s="42"/>
      <c r="J1" s="19"/>
      <c r="K1" s="19"/>
      <c r="L1" s="19"/>
      <c r="M1" s="20"/>
      <c r="N1" s="20"/>
      <c r="O1" s="20"/>
      <c r="P1" s="20"/>
      <c r="Q1" s="20"/>
    </row>
    <row r="2" spans="1:22" ht="14.45" customHeight="1" x14ac:dyDescent="0.25">
      <c r="B2" s="10"/>
      <c r="C2" s="42"/>
      <c r="D2" s="42"/>
      <c r="E2" s="42"/>
      <c r="F2" s="42"/>
      <c r="G2" s="42"/>
      <c r="H2" s="42"/>
      <c r="I2" s="42"/>
      <c r="J2" s="19"/>
      <c r="K2" s="19"/>
      <c r="L2" s="19"/>
      <c r="M2" s="20"/>
      <c r="N2" s="20"/>
      <c r="O2" s="20"/>
      <c r="P2" s="20"/>
      <c r="Q2" s="20"/>
    </row>
    <row r="3" spans="1:22" ht="14.45" customHeight="1" x14ac:dyDescent="0.25">
      <c r="B3" s="10"/>
      <c r="C3" s="42"/>
      <c r="D3" s="42"/>
      <c r="E3" s="42"/>
      <c r="F3" s="42"/>
      <c r="G3" s="42"/>
      <c r="H3" s="42"/>
      <c r="I3" s="42"/>
      <c r="J3" s="19"/>
      <c r="K3" s="19"/>
      <c r="L3" s="19"/>
      <c r="M3" s="20"/>
      <c r="N3" s="20"/>
      <c r="O3" s="20"/>
      <c r="P3" s="20"/>
      <c r="Q3" s="20"/>
    </row>
    <row r="4" spans="1:22" ht="14.45" customHeight="1" x14ac:dyDescent="0.25">
      <c r="B4" s="10"/>
      <c r="C4" s="42"/>
      <c r="D4" s="42"/>
      <c r="E4" s="42"/>
      <c r="F4" s="42"/>
      <c r="G4" s="42"/>
      <c r="H4" s="42"/>
      <c r="I4" s="42"/>
      <c r="J4" s="19"/>
      <c r="K4" s="19"/>
      <c r="L4" s="19"/>
      <c r="M4" s="20"/>
      <c r="N4" s="20"/>
      <c r="O4" s="20"/>
      <c r="P4" s="20"/>
      <c r="Q4" s="20"/>
    </row>
    <row r="5" spans="1:22" ht="14.45" customHeight="1" x14ac:dyDescent="0.25">
      <c r="B5" s="10"/>
      <c r="C5" s="42"/>
      <c r="D5" s="42"/>
      <c r="E5" s="42"/>
      <c r="F5" s="42"/>
      <c r="G5" s="42"/>
      <c r="H5" s="42"/>
      <c r="I5" s="42"/>
      <c r="J5" s="19"/>
      <c r="K5" s="19"/>
      <c r="L5" s="19"/>
      <c r="M5" s="20"/>
      <c r="N5" s="20"/>
      <c r="O5" s="20"/>
      <c r="P5" s="20"/>
      <c r="Q5" s="20"/>
    </row>
    <row r="6" spans="1:22" ht="14.45" customHeight="1" thickBot="1" x14ac:dyDescent="0.3">
      <c r="C6"/>
      <c r="D6"/>
      <c r="E6"/>
      <c r="F6"/>
      <c r="G6"/>
      <c r="U6" s="3"/>
    </row>
    <row r="7" spans="1:22" ht="18.75" customHeight="1" thickTop="1" x14ac:dyDescent="0.3">
      <c r="A7" s="43" t="s">
        <v>0</v>
      </c>
      <c r="C7" s="57" t="s">
        <v>37</v>
      </c>
      <c r="D7" s="39"/>
      <c r="E7"/>
      <c r="F7"/>
      <c r="G7"/>
      <c r="R7" s="9"/>
      <c r="S7" s="3"/>
      <c r="T7" s="3"/>
    </row>
    <row r="8" spans="1:22" ht="18.75" customHeight="1" thickBot="1" x14ac:dyDescent="0.35">
      <c r="A8" s="44"/>
      <c r="C8" s="13" t="s">
        <v>38</v>
      </c>
      <c r="D8" s="39"/>
      <c r="E8"/>
      <c r="F8"/>
      <c r="G8"/>
    </row>
    <row r="9" spans="1:22" ht="20.25" customHeight="1" thickTop="1" x14ac:dyDescent="0.3">
      <c r="A9" s="38" t="s">
        <v>26</v>
      </c>
      <c r="C9" s="13" t="s">
        <v>39</v>
      </c>
      <c r="D9" s="39"/>
      <c r="E9"/>
      <c r="F9"/>
      <c r="G9"/>
      <c r="J9" s="22" t="str">
        <f t="shared" ref="J9:J40" si="0">IF(E9="Sem gravidade",1,IF(E9="Pouca gravidade",2,IF(E9="Grave",3,IF(E9="Muito grave",4,IF(E9="Extremamente grave",5,"")))))</f>
        <v/>
      </c>
      <c r="K9" s="22" t="str">
        <f t="shared" ref="K9:K40" si="1">IF(F9=$M$15,1,IF(F9=$M$16,2,IF(F9=$M$17,3,IF(F9=$M$18,4,IF(F9=$M$19,5,"")))))</f>
        <v/>
      </c>
      <c r="L9" s="22" t="str">
        <f t="shared" ref="L9:L40" si="2">IF(G9=$M$21,1,IF(G9=$M$22,2,IF(G9=$M$23,3,IF(G9=$M$24,4,IF(G9=$M$25,5,"")))))</f>
        <v/>
      </c>
      <c r="M9" t="s">
        <v>6</v>
      </c>
    </row>
    <row r="10" spans="1:22" ht="20.25" customHeight="1" x14ac:dyDescent="0.3">
      <c r="A10" s="36" t="s">
        <v>24</v>
      </c>
      <c r="D10" s="39"/>
      <c r="E10"/>
      <c r="F10"/>
      <c r="G10"/>
      <c r="J10" s="22" t="str">
        <f t="shared" si="0"/>
        <v/>
      </c>
      <c r="K10" s="22" t="str">
        <f t="shared" si="1"/>
        <v/>
      </c>
      <c r="L10" s="22" t="str">
        <f t="shared" si="2"/>
        <v/>
      </c>
      <c r="M10" t="s">
        <v>7</v>
      </c>
      <c r="V10" s="3"/>
    </row>
    <row r="11" spans="1:22" ht="20.25" customHeight="1" x14ac:dyDescent="0.3">
      <c r="A11" s="36" t="s">
        <v>25</v>
      </c>
      <c r="C11" s="57" t="s">
        <v>30</v>
      </c>
      <c r="D11" s="39"/>
      <c r="E11"/>
      <c r="F11"/>
      <c r="G11"/>
      <c r="J11" s="22" t="str">
        <f t="shared" si="0"/>
        <v/>
      </c>
      <c r="K11" s="22" t="str">
        <f t="shared" si="1"/>
        <v/>
      </c>
      <c r="L11" s="22" t="str">
        <f t="shared" si="2"/>
        <v/>
      </c>
      <c r="M11" t="s">
        <v>8</v>
      </c>
      <c r="U11" s="3"/>
    </row>
    <row r="12" spans="1:22" ht="20.25" customHeight="1" x14ac:dyDescent="0.3">
      <c r="A12" s="15"/>
      <c r="C12" s="13" t="s">
        <v>33</v>
      </c>
      <c r="D12" s="39"/>
      <c r="E12"/>
      <c r="F12"/>
      <c r="G12"/>
      <c r="J12" s="22" t="str">
        <f t="shared" si="0"/>
        <v/>
      </c>
      <c r="K12" s="22" t="str">
        <f t="shared" si="1"/>
        <v/>
      </c>
      <c r="L12" s="22" t="str">
        <f t="shared" si="2"/>
        <v/>
      </c>
      <c r="M12" t="s">
        <v>9</v>
      </c>
      <c r="R12" s="3"/>
      <c r="S12" s="3"/>
      <c r="T12" s="3"/>
      <c r="V12" s="3"/>
    </row>
    <row r="13" spans="1:22" ht="20.25" customHeight="1" x14ac:dyDescent="0.3">
      <c r="A13" s="46"/>
      <c r="C13" s="13" t="s">
        <v>34</v>
      </c>
      <c r="D13" s="39"/>
      <c r="E13"/>
      <c r="F13"/>
      <c r="G13"/>
      <c r="J13" s="22" t="str">
        <f t="shared" si="0"/>
        <v/>
      </c>
      <c r="K13" s="22" t="str">
        <f t="shared" si="1"/>
        <v/>
      </c>
      <c r="L13" s="22" t="str">
        <f t="shared" si="2"/>
        <v/>
      </c>
      <c r="M13" t="s">
        <v>10</v>
      </c>
      <c r="R13" s="8"/>
      <c r="S13" s="7"/>
      <c r="U13" s="3"/>
    </row>
    <row r="14" spans="1:22" ht="20.25" customHeight="1" x14ac:dyDescent="0.3">
      <c r="A14" s="46"/>
      <c r="C14" s="13" t="s">
        <v>35</v>
      </c>
      <c r="D14" s="39"/>
      <c r="E14"/>
      <c r="F14"/>
      <c r="G14"/>
      <c r="J14" s="22" t="str">
        <f t="shared" si="0"/>
        <v/>
      </c>
      <c r="K14" s="22" t="str">
        <f t="shared" si="1"/>
        <v/>
      </c>
      <c r="L14" s="22" t="str">
        <f t="shared" si="2"/>
        <v/>
      </c>
      <c r="R14" s="6"/>
      <c r="S14" s="3"/>
      <c r="T14" s="3"/>
    </row>
    <row r="15" spans="1:22" ht="20.25" customHeight="1" x14ac:dyDescent="0.25">
      <c r="A15" s="46"/>
      <c r="E15"/>
      <c r="F15"/>
      <c r="G15"/>
      <c r="J15" s="22" t="str">
        <f t="shared" si="0"/>
        <v/>
      </c>
      <c r="K15" s="22" t="str">
        <f t="shared" si="1"/>
        <v/>
      </c>
      <c r="L15" s="22" t="str">
        <f t="shared" si="2"/>
        <v/>
      </c>
      <c r="M15" t="s">
        <v>11</v>
      </c>
      <c r="S15" s="5"/>
      <c r="T15" s="5"/>
    </row>
    <row r="16" spans="1:22" ht="20.25" customHeight="1" x14ac:dyDescent="0.3">
      <c r="A16" s="46"/>
      <c r="C16" s="57" t="s">
        <v>31</v>
      </c>
      <c r="D16"/>
      <c r="E16"/>
      <c r="F16"/>
      <c r="G16"/>
      <c r="J16" s="22" t="str">
        <f t="shared" si="0"/>
        <v/>
      </c>
      <c r="K16" s="22" t="str">
        <f t="shared" si="1"/>
        <v/>
      </c>
      <c r="L16" s="22" t="str">
        <f t="shared" si="2"/>
        <v/>
      </c>
      <c r="M16" t="s">
        <v>12</v>
      </c>
    </row>
    <row r="17" spans="1:18" ht="20.25" customHeight="1" x14ac:dyDescent="0.25">
      <c r="A17" s="46"/>
      <c r="C17" s="13" t="s">
        <v>32</v>
      </c>
      <c r="D17"/>
      <c r="E17"/>
      <c r="F17"/>
      <c r="G17"/>
      <c r="J17" s="22" t="str">
        <f t="shared" si="0"/>
        <v/>
      </c>
      <c r="K17" s="22" t="str">
        <f t="shared" si="1"/>
        <v/>
      </c>
      <c r="L17" s="22" t="str">
        <f t="shared" si="2"/>
        <v/>
      </c>
      <c r="M17" t="s">
        <v>13</v>
      </c>
      <c r="R17" s="2"/>
    </row>
    <row r="18" spans="1:18" ht="20.25" customHeight="1" x14ac:dyDescent="0.25">
      <c r="A18" s="46"/>
      <c r="C18" s="13" t="s">
        <v>36</v>
      </c>
      <c r="D18"/>
      <c r="E18"/>
      <c r="F18"/>
      <c r="G18"/>
      <c r="J18" s="22" t="str">
        <f t="shared" si="0"/>
        <v/>
      </c>
      <c r="K18" s="22" t="str">
        <f t="shared" si="1"/>
        <v/>
      </c>
      <c r="L18" s="22" t="str">
        <f t="shared" si="2"/>
        <v/>
      </c>
      <c r="M18" t="s">
        <v>14</v>
      </c>
      <c r="R18" s="2"/>
    </row>
    <row r="19" spans="1:18" ht="20.25" customHeight="1" x14ac:dyDescent="0.25">
      <c r="A19" s="47"/>
      <c r="C19"/>
      <c r="D19"/>
      <c r="E19"/>
      <c r="F19"/>
      <c r="G19"/>
      <c r="J19" s="22" t="str">
        <f t="shared" si="0"/>
        <v/>
      </c>
      <c r="K19" s="22" t="str">
        <f t="shared" si="1"/>
        <v/>
      </c>
      <c r="L19" s="22" t="str">
        <f t="shared" si="2"/>
        <v/>
      </c>
      <c r="M19" t="s">
        <v>15</v>
      </c>
      <c r="R19" s="2"/>
    </row>
    <row r="20" spans="1:18" ht="20.25" customHeight="1" x14ac:dyDescent="0.25">
      <c r="A20" s="47"/>
      <c r="C20"/>
      <c r="D20"/>
      <c r="E20"/>
      <c r="F20"/>
      <c r="G20"/>
      <c r="J20" s="22" t="str">
        <f t="shared" si="0"/>
        <v/>
      </c>
      <c r="K20" s="22" t="str">
        <f t="shared" si="1"/>
        <v/>
      </c>
      <c r="L20" s="22" t="str">
        <f t="shared" si="2"/>
        <v/>
      </c>
      <c r="R20" s="2"/>
    </row>
    <row r="21" spans="1:18" ht="20.25" customHeight="1" x14ac:dyDescent="0.25">
      <c r="A21" s="47"/>
      <c r="C21"/>
      <c r="D21"/>
      <c r="E21"/>
      <c r="F21"/>
      <c r="G21"/>
      <c r="J21" s="22" t="str">
        <f t="shared" si="0"/>
        <v/>
      </c>
      <c r="K21" s="22" t="str">
        <f t="shared" si="1"/>
        <v/>
      </c>
      <c r="L21" s="22" t="str">
        <f t="shared" si="2"/>
        <v/>
      </c>
      <c r="M21" t="s">
        <v>18</v>
      </c>
      <c r="R21" s="1"/>
    </row>
    <row r="22" spans="1:18" ht="20.25" customHeight="1" x14ac:dyDescent="0.25">
      <c r="A22" s="47"/>
      <c r="C22"/>
      <c r="D22"/>
      <c r="E22"/>
      <c r="F22"/>
      <c r="G22"/>
      <c r="J22" s="22" t="str">
        <f t="shared" si="0"/>
        <v/>
      </c>
      <c r="K22" s="22" t="str">
        <f t="shared" si="1"/>
        <v/>
      </c>
      <c r="L22" s="22" t="str">
        <f t="shared" si="2"/>
        <v/>
      </c>
      <c r="M22" t="s">
        <v>16</v>
      </c>
    </row>
    <row r="23" spans="1:18" ht="20.25" customHeight="1" x14ac:dyDescent="0.25">
      <c r="A23" s="45"/>
      <c r="C23"/>
      <c r="D23"/>
      <c r="E23"/>
      <c r="F23"/>
      <c r="G23"/>
      <c r="J23" s="22" t="str">
        <f t="shared" si="0"/>
        <v/>
      </c>
      <c r="K23" s="22" t="str">
        <f t="shared" si="1"/>
        <v/>
      </c>
      <c r="L23" s="22" t="str">
        <f t="shared" si="2"/>
        <v/>
      </c>
      <c r="M23" t="s">
        <v>17</v>
      </c>
    </row>
    <row r="24" spans="1:18" ht="20.25" customHeight="1" x14ac:dyDescent="0.25">
      <c r="A24" s="45"/>
      <c r="C24"/>
      <c r="D24"/>
      <c r="E24"/>
      <c r="F24"/>
      <c r="G24"/>
      <c r="J24" s="22" t="str">
        <f t="shared" si="0"/>
        <v/>
      </c>
      <c r="K24" s="22" t="str">
        <f t="shared" si="1"/>
        <v/>
      </c>
      <c r="L24" s="22" t="str">
        <f t="shared" si="2"/>
        <v/>
      </c>
      <c r="M24" t="s">
        <v>19</v>
      </c>
      <c r="R24" s="5"/>
    </row>
    <row r="25" spans="1:18" ht="20.25" customHeight="1" x14ac:dyDescent="0.25">
      <c r="A25" s="45"/>
      <c r="C25"/>
      <c r="D25"/>
      <c r="E25"/>
      <c r="F25"/>
      <c r="G25"/>
      <c r="J25" s="22" t="str">
        <f t="shared" si="0"/>
        <v/>
      </c>
      <c r="K25" s="22" t="str">
        <f t="shared" si="1"/>
        <v/>
      </c>
      <c r="L25" s="22" t="str">
        <f t="shared" si="2"/>
        <v/>
      </c>
      <c r="M25" t="s">
        <v>20</v>
      </c>
    </row>
    <row r="26" spans="1:18" ht="20.25" customHeight="1" x14ac:dyDescent="0.25">
      <c r="A26" s="45"/>
      <c r="C26"/>
      <c r="D26"/>
      <c r="E26"/>
      <c r="F26"/>
      <c r="G26"/>
      <c r="J26" s="22" t="str">
        <f t="shared" si="0"/>
        <v/>
      </c>
      <c r="K26" s="22" t="str">
        <f t="shared" si="1"/>
        <v/>
      </c>
      <c r="L26" s="22" t="str">
        <f t="shared" si="2"/>
        <v/>
      </c>
    </row>
    <row r="27" spans="1:18" ht="20.25" customHeight="1" x14ac:dyDescent="0.25">
      <c r="C27"/>
      <c r="D27"/>
      <c r="E27"/>
      <c r="F27"/>
      <c r="G27"/>
      <c r="J27" s="22" t="str">
        <f t="shared" si="0"/>
        <v/>
      </c>
      <c r="K27" s="22" t="str">
        <f t="shared" si="1"/>
        <v/>
      </c>
      <c r="L27" s="22" t="str">
        <f t="shared" si="2"/>
        <v/>
      </c>
    </row>
    <row r="28" spans="1:18" ht="20.25" customHeight="1" x14ac:dyDescent="0.25">
      <c r="C28"/>
      <c r="D28"/>
      <c r="E28"/>
      <c r="F28"/>
      <c r="G28"/>
      <c r="J28" s="22" t="str">
        <f t="shared" si="0"/>
        <v/>
      </c>
      <c r="K28" s="22" t="str">
        <f t="shared" si="1"/>
        <v/>
      </c>
      <c r="L28" s="22" t="str">
        <f t="shared" si="2"/>
        <v/>
      </c>
      <c r="R28" s="5"/>
    </row>
    <row r="29" spans="1:18" ht="20.25" customHeight="1" x14ac:dyDescent="0.25">
      <c r="C29"/>
      <c r="D29"/>
      <c r="E29"/>
      <c r="F29"/>
      <c r="G29"/>
      <c r="J29" s="22" t="str">
        <f t="shared" si="0"/>
        <v/>
      </c>
      <c r="K29" s="22" t="str">
        <f t="shared" si="1"/>
        <v/>
      </c>
      <c r="L29" s="22" t="str">
        <f t="shared" si="2"/>
        <v/>
      </c>
    </row>
    <row r="30" spans="1:18" ht="20.25" customHeight="1" x14ac:dyDescent="0.25">
      <c r="C30"/>
      <c r="D30"/>
      <c r="E30"/>
      <c r="F30"/>
      <c r="G30"/>
      <c r="J30" s="22" t="str">
        <f t="shared" si="0"/>
        <v/>
      </c>
      <c r="K30" s="22" t="str">
        <f t="shared" si="1"/>
        <v/>
      </c>
      <c r="L30" s="22" t="str">
        <f t="shared" si="2"/>
        <v/>
      </c>
      <c r="R30" s="5"/>
    </row>
    <row r="31" spans="1:18" ht="20.25" customHeight="1" x14ac:dyDescent="0.25">
      <c r="C31"/>
      <c r="D31"/>
      <c r="E31"/>
      <c r="F31"/>
      <c r="G31"/>
      <c r="J31" s="22" t="str">
        <f t="shared" si="0"/>
        <v/>
      </c>
      <c r="K31" s="22" t="str">
        <f t="shared" si="1"/>
        <v/>
      </c>
      <c r="L31" s="22" t="str">
        <f t="shared" si="2"/>
        <v/>
      </c>
      <c r="R31" s="5"/>
    </row>
    <row r="32" spans="1:18" ht="20.25" customHeight="1" x14ac:dyDescent="0.25">
      <c r="C32"/>
      <c r="D32"/>
      <c r="E32"/>
      <c r="F32"/>
      <c r="G32"/>
      <c r="J32" s="22" t="str">
        <f t="shared" si="0"/>
        <v/>
      </c>
      <c r="K32" s="22" t="str">
        <f t="shared" si="1"/>
        <v/>
      </c>
      <c r="L32" s="22" t="str">
        <f t="shared" si="2"/>
        <v/>
      </c>
      <c r="R32" s="5"/>
    </row>
    <row r="33" spans="3:22" ht="20.25" customHeight="1" x14ac:dyDescent="0.25">
      <c r="C33"/>
      <c r="D33"/>
      <c r="E33"/>
      <c r="F33"/>
      <c r="G33"/>
      <c r="J33" s="22" t="str">
        <f t="shared" si="0"/>
        <v/>
      </c>
      <c r="K33" s="22" t="str">
        <f t="shared" si="1"/>
        <v/>
      </c>
      <c r="L33" s="22" t="str">
        <f t="shared" si="2"/>
        <v/>
      </c>
      <c r="R33" s="5"/>
    </row>
    <row r="34" spans="3:22" ht="20.25" customHeight="1" x14ac:dyDescent="0.25">
      <c r="C34"/>
      <c r="D34"/>
      <c r="E34"/>
      <c r="F34"/>
      <c r="G34"/>
      <c r="J34" s="22" t="str">
        <f t="shared" si="0"/>
        <v/>
      </c>
      <c r="K34" s="22" t="str">
        <f t="shared" si="1"/>
        <v/>
      </c>
      <c r="L34" s="22" t="str">
        <f t="shared" si="2"/>
        <v/>
      </c>
    </row>
    <row r="35" spans="3:22" ht="20.25" customHeight="1" x14ac:dyDescent="0.25">
      <c r="C35"/>
      <c r="D35"/>
      <c r="E35"/>
      <c r="F35"/>
      <c r="G35"/>
      <c r="J35" s="22" t="str">
        <f t="shared" si="0"/>
        <v/>
      </c>
      <c r="K35" s="22" t="str">
        <f t="shared" si="1"/>
        <v/>
      </c>
      <c r="L35" s="22" t="str">
        <f t="shared" si="2"/>
        <v/>
      </c>
    </row>
    <row r="36" spans="3:22" ht="20.25" customHeight="1" x14ac:dyDescent="0.25">
      <c r="C36"/>
      <c r="D36"/>
      <c r="E36"/>
      <c r="F36"/>
      <c r="G36"/>
      <c r="J36" s="22" t="str">
        <f t="shared" si="0"/>
        <v/>
      </c>
      <c r="K36" s="22" t="str">
        <f t="shared" si="1"/>
        <v/>
      </c>
      <c r="L36" s="22" t="str">
        <f t="shared" si="2"/>
        <v/>
      </c>
    </row>
    <row r="37" spans="3:22" ht="20.25" customHeight="1" x14ac:dyDescent="0.25">
      <c r="C37"/>
      <c r="D37"/>
      <c r="E37"/>
      <c r="F37"/>
      <c r="G37"/>
      <c r="J37" s="22" t="str">
        <f t="shared" si="0"/>
        <v/>
      </c>
      <c r="K37" s="22" t="str">
        <f t="shared" si="1"/>
        <v/>
      </c>
      <c r="L37" s="22" t="str">
        <f t="shared" si="2"/>
        <v/>
      </c>
    </row>
    <row r="38" spans="3:22" ht="20.25" customHeight="1" x14ac:dyDescent="0.25">
      <c r="C38"/>
      <c r="D38"/>
      <c r="E38"/>
      <c r="F38"/>
      <c r="G38"/>
      <c r="J38" s="22" t="str">
        <f t="shared" si="0"/>
        <v/>
      </c>
      <c r="K38" s="22" t="str">
        <f t="shared" si="1"/>
        <v/>
      </c>
      <c r="L38" s="22" t="str">
        <f t="shared" si="2"/>
        <v/>
      </c>
    </row>
    <row r="39" spans="3:22" ht="20.25" customHeight="1" x14ac:dyDescent="0.25">
      <c r="C39"/>
      <c r="D39"/>
      <c r="E39"/>
      <c r="F39"/>
      <c r="G39"/>
      <c r="J39" s="22" t="str">
        <f t="shared" si="0"/>
        <v/>
      </c>
      <c r="K39" s="22" t="str">
        <f t="shared" si="1"/>
        <v/>
      </c>
      <c r="L39" s="22" t="str">
        <f t="shared" si="2"/>
        <v/>
      </c>
    </row>
    <row r="40" spans="3:22" ht="20.25" customHeight="1" x14ac:dyDescent="0.25">
      <c r="C40"/>
      <c r="D40"/>
      <c r="E40"/>
      <c r="F40"/>
      <c r="G40"/>
      <c r="J40" s="22" t="str">
        <f t="shared" si="0"/>
        <v/>
      </c>
      <c r="K40" s="22" t="str">
        <f t="shared" si="1"/>
        <v/>
      </c>
      <c r="L40" s="22" t="str">
        <f t="shared" si="2"/>
        <v/>
      </c>
    </row>
    <row r="41" spans="3:22" ht="20.25" customHeight="1" x14ac:dyDescent="0.25">
      <c r="C41" s="21"/>
      <c r="D41" s="21"/>
      <c r="E41" s="21"/>
      <c r="F41" s="21"/>
      <c r="G41" s="21"/>
    </row>
    <row r="42" spans="3:22" ht="20.25" customHeight="1" x14ac:dyDescent="0.25">
      <c r="C42" s="21"/>
      <c r="D42" s="21"/>
      <c r="E42" s="21"/>
      <c r="F42" s="21"/>
      <c r="G42" s="21"/>
      <c r="V42" s="3"/>
    </row>
    <row r="43" spans="3:22" ht="14.45" customHeight="1" x14ac:dyDescent="0.25">
      <c r="C43" s="21"/>
      <c r="D43" s="21"/>
      <c r="E43" s="21"/>
      <c r="F43" s="21"/>
      <c r="G43" s="21"/>
      <c r="R43" s="1"/>
      <c r="U43" s="3"/>
    </row>
    <row r="44" spans="3:22" ht="14.45" customHeight="1" x14ac:dyDescent="0.25">
      <c r="C44" s="21"/>
      <c r="D44" s="21"/>
      <c r="E44" s="21"/>
      <c r="F44" s="21"/>
      <c r="G44" s="21"/>
      <c r="R44" s="1"/>
      <c r="U44" s="3"/>
    </row>
    <row r="45" spans="3:22" ht="14.45" customHeight="1" x14ac:dyDescent="0.25">
      <c r="C45" s="21"/>
      <c r="D45" s="21"/>
      <c r="E45" s="21"/>
      <c r="F45" s="21"/>
      <c r="G45" s="21"/>
      <c r="R45" s="1"/>
      <c r="U45" s="3"/>
    </row>
    <row r="46" spans="3:22" ht="14.45" customHeight="1" x14ac:dyDescent="0.25">
      <c r="C46" s="21"/>
      <c r="D46" s="21"/>
      <c r="E46" s="21"/>
      <c r="F46" s="21"/>
      <c r="G46" s="21"/>
      <c r="R46" s="1"/>
      <c r="U46" s="3"/>
    </row>
    <row r="47" spans="3:22" ht="14.45" customHeight="1" x14ac:dyDescent="0.25">
      <c r="C47" s="21"/>
      <c r="D47" s="21"/>
      <c r="E47" s="21"/>
      <c r="F47" s="21"/>
      <c r="G47" s="21"/>
      <c r="R47" s="1"/>
      <c r="U47" s="3"/>
    </row>
    <row r="48" spans="3:22" ht="15" customHeight="1" x14ac:dyDescent="0.25">
      <c r="C48" s="21"/>
      <c r="D48" s="21"/>
      <c r="E48" s="21"/>
      <c r="F48" s="21"/>
      <c r="G48" s="21"/>
      <c r="R48" s="3"/>
      <c r="S48" s="3"/>
      <c r="T48" s="3"/>
    </row>
    <row r="49" spans="18:22" ht="15" customHeight="1" x14ac:dyDescent="0.25">
      <c r="V49" s="3"/>
    </row>
    <row r="50" spans="18:22" ht="14.45" customHeight="1" x14ac:dyDescent="0.25">
      <c r="V50" s="3"/>
    </row>
    <row r="51" spans="18:22" ht="14.45" customHeight="1" x14ac:dyDescent="0.25">
      <c r="V51" s="3"/>
    </row>
    <row r="52" spans="18:22" ht="14.45" customHeight="1" x14ac:dyDescent="0.25">
      <c r="V52" s="3"/>
    </row>
    <row r="53" spans="18:22" x14ac:dyDescent="0.25">
      <c r="U53" s="3"/>
    </row>
    <row r="54" spans="18:22" x14ac:dyDescent="0.25">
      <c r="U54" s="3"/>
    </row>
    <row r="55" spans="18:22" x14ac:dyDescent="0.25">
      <c r="U55" s="3"/>
    </row>
    <row r="56" spans="18:22" x14ac:dyDescent="0.25">
      <c r="U56" s="3"/>
    </row>
    <row r="57" spans="18:22" x14ac:dyDescent="0.25">
      <c r="R57" s="3"/>
      <c r="S57" s="3"/>
      <c r="T57" s="3"/>
    </row>
    <row r="58" spans="18:22" x14ac:dyDescent="0.25">
      <c r="V58" s="3"/>
    </row>
    <row r="59" spans="18:22" x14ac:dyDescent="0.25">
      <c r="U59" s="3"/>
    </row>
    <row r="60" spans="18:22" x14ac:dyDescent="0.25">
      <c r="R60" s="3"/>
      <c r="S60" s="3"/>
      <c r="T60" s="3"/>
    </row>
    <row r="61" spans="18:22" x14ac:dyDescent="0.25">
      <c r="V61" s="3"/>
    </row>
    <row r="62" spans="18:22" x14ac:dyDescent="0.25">
      <c r="U62" s="3"/>
    </row>
    <row r="63" spans="18:22" x14ac:dyDescent="0.25">
      <c r="R63" s="4"/>
      <c r="S63" s="3"/>
      <c r="T63" s="3"/>
    </row>
    <row r="64" spans="18:22" x14ac:dyDescent="0.25">
      <c r="R64" s="2"/>
    </row>
    <row r="65" spans="6:7" x14ac:dyDescent="0.25">
      <c r="G65" s="16"/>
    </row>
    <row r="66" spans="6:7" x14ac:dyDescent="0.25">
      <c r="F66" s="18"/>
      <c r="G66" s="17"/>
    </row>
    <row r="67" spans="6:7" x14ac:dyDescent="0.25">
      <c r="F67" s="18"/>
      <c r="G67" s="17"/>
    </row>
    <row r="68" spans="6:7" x14ac:dyDescent="0.25">
      <c r="F68" s="18"/>
      <c r="G68" s="17"/>
    </row>
    <row r="69" spans="6:7" x14ac:dyDescent="0.25">
      <c r="F69" s="18"/>
      <c r="G69" s="17"/>
    </row>
    <row r="70" spans="6:7" x14ac:dyDescent="0.25">
      <c r="F70" s="18"/>
      <c r="G70" s="17"/>
    </row>
    <row r="72" spans="6:7" x14ac:dyDescent="0.25">
      <c r="G72" s="17"/>
    </row>
  </sheetData>
  <sheetProtection algorithmName="SHA-512" hashValue="6ynZcW0R5u6nElS9iIDNEz4D4lTvOOh6OivH/OwyPONw/K0gCEuIlqbGNdrnLqBSfYx0579ZGFccSDfwuCUmuw==" saltValue="m82N974PPP9sL19ydZhcew==" spinCount="100000" sheet="1" objects="1" scenarios="1"/>
  <mergeCells count="9">
    <mergeCell ref="C1:I5"/>
    <mergeCell ref="A7:A8"/>
    <mergeCell ref="A25:A26"/>
    <mergeCell ref="A13:A14"/>
    <mergeCell ref="A15:A16"/>
    <mergeCell ref="A17:A18"/>
    <mergeCell ref="A19:A20"/>
    <mergeCell ref="A21:A22"/>
    <mergeCell ref="A23:A24"/>
  </mergeCells>
  <hyperlinks>
    <hyperlink ref="A11" location="'3. Ranking'!A1" display="3. Ranking de prioridades"/>
    <hyperlink ref="A10" location="'2. Problemas'!A1" display="2. Problemas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X72"/>
  <sheetViews>
    <sheetView showGridLines="0" zoomScale="90" zoomScaleNormal="90" workbookViewId="0">
      <pane xSplit="1" ySplit="6" topLeftCell="B7" activePane="bottomRight" state="frozen"/>
      <selection activeCell="C15" sqref="C15"/>
      <selection pane="topRight" activeCell="C15" sqref="C15"/>
      <selection pane="bottomLeft" activeCell="C15" sqref="C15"/>
      <selection pane="bottomRight" activeCell="D12" sqref="D12"/>
    </sheetView>
  </sheetViews>
  <sheetFormatPr defaultColWidth="0" defaultRowHeight="15.75" x14ac:dyDescent="0.25"/>
  <cols>
    <col min="1" max="1" width="28.85546875" style="12" customWidth="1"/>
    <col min="2" max="2" width="3.7109375" customWidth="1"/>
    <col min="3" max="3" width="18" style="13" customWidth="1"/>
    <col min="4" max="4" width="83.140625" style="13" customWidth="1"/>
    <col min="5" max="7" width="22.28515625" style="13" customWidth="1"/>
    <col min="8" max="9" width="14.42578125" customWidth="1"/>
    <col min="10" max="17" width="14.42578125" hidden="1" customWidth="1"/>
    <col min="18" max="18" width="12" hidden="1" customWidth="1"/>
    <col min="19" max="19" width="11.42578125" hidden="1" customWidth="1"/>
    <col min="20" max="20" width="10.42578125" hidden="1" customWidth="1"/>
    <col min="21" max="24" width="0" hidden="1" customWidth="1"/>
    <col min="25" max="16384" width="8.85546875" hidden="1"/>
  </cols>
  <sheetData>
    <row r="1" spans="1:22" ht="14.45" customHeight="1" x14ac:dyDescent="0.25">
      <c r="B1" s="10"/>
      <c r="C1" s="42" t="s">
        <v>28</v>
      </c>
      <c r="D1" s="42"/>
      <c r="E1" s="42"/>
      <c r="F1" s="42"/>
      <c r="G1" s="42"/>
      <c r="H1" s="42"/>
      <c r="I1" s="42"/>
      <c r="J1" s="19"/>
      <c r="K1" s="19"/>
      <c r="L1" s="19"/>
      <c r="M1" s="20"/>
      <c r="N1" s="20"/>
      <c r="O1" s="20"/>
      <c r="P1" s="20"/>
      <c r="Q1" s="20"/>
    </row>
    <row r="2" spans="1:22" ht="14.45" customHeight="1" x14ac:dyDescent="0.25">
      <c r="B2" s="10"/>
      <c r="C2" s="42"/>
      <c r="D2" s="42"/>
      <c r="E2" s="42"/>
      <c r="F2" s="42"/>
      <c r="G2" s="42"/>
      <c r="H2" s="42"/>
      <c r="I2" s="42"/>
      <c r="J2" s="19"/>
      <c r="K2" s="19"/>
      <c r="L2" s="19"/>
      <c r="M2" s="20"/>
      <c r="N2" s="20"/>
      <c r="O2" s="20"/>
      <c r="P2" s="20"/>
      <c r="Q2" s="20"/>
    </row>
    <row r="3" spans="1:22" ht="14.45" customHeight="1" x14ac:dyDescent="0.25">
      <c r="B3" s="10"/>
      <c r="C3" s="42"/>
      <c r="D3" s="42"/>
      <c r="E3" s="42"/>
      <c r="F3" s="42"/>
      <c r="G3" s="42"/>
      <c r="H3" s="42"/>
      <c r="I3" s="42"/>
      <c r="J3" s="19"/>
      <c r="K3" s="19"/>
      <c r="L3" s="19"/>
      <c r="M3" s="20"/>
      <c r="N3" s="20"/>
      <c r="O3" s="20"/>
      <c r="P3" s="20"/>
      <c r="Q3" s="20"/>
    </row>
    <row r="4" spans="1:22" ht="14.45" customHeight="1" x14ac:dyDescent="0.25">
      <c r="B4" s="10"/>
      <c r="C4" s="42"/>
      <c r="D4" s="42"/>
      <c r="E4" s="42"/>
      <c r="F4" s="42"/>
      <c r="G4" s="42"/>
      <c r="H4" s="42"/>
      <c r="I4" s="42"/>
      <c r="J4" s="19"/>
      <c r="K4" s="19"/>
      <c r="L4" s="19"/>
      <c r="M4" s="20"/>
      <c r="N4" s="20"/>
      <c r="O4" s="20"/>
      <c r="P4" s="20"/>
      <c r="Q4" s="20"/>
    </row>
    <row r="5" spans="1:22" ht="14.45" customHeight="1" x14ac:dyDescent="0.25">
      <c r="B5" s="10"/>
      <c r="C5" s="42"/>
      <c r="D5" s="42"/>
      <c r="E5" s="42"/>
      <c r="F5" s="42"/>
      <c r="G5" s="42"/>
      <c r="H5" s="42"/>
      <c r="I5" s="42"/>
      <c r="J5" s="19"/>
      <c r="K5" s="19"/>
      <c r="L5" s="19"/>
      <c r="M5" s="20"/>
      <c r="N5" s="20"/>
      <c r="O5" s="20"/>
      <c r="P5" s="20"/>
      <c r="Q5" s="20"/>
    </row>
    <row r="6" spans="1:22" ht="14.45" customHeight="1" thickBot="1" x14ac:dyDescent="0.3">
      <c r="C6"/>
      <c r="D6"/>
      <c r="E6"/>
      <c r="F6"/>
      <c r="G6"/>
      <c r="U6" s="3"/>
    </row>
    <row r="7" spans="1:22" ht="18.75" customHeight="1" thickTop="1" x14ac:dyDescent="0.25">
      <c r="A7" s="43" t="s">
        <v>0</v>
      </c>
      <c r="C7" s="52" t="s">
        <v>5</v>
      </c>
      <c r="D7" s="48" t="s">
        <v>1</v>
      </c>
      <c r="E7" s="48" t="s">
        <v>2</v>
      </c>
      <c r="F7" s="48" t="s">
        <v>3</v>
      </c>
      <c r="G7" s="50" t="s">
        <v>4</v>
      </c>
      <c r="R7" s="9"/>
      <c r="S7" s="3"/>
      <c r="T7" s="3"/>
    </row>
    <row r="8" spans="1:22" ht="18.75" customHeight="1" thickBot="1" x14ac:dyDescent="0.3">
      <c r="A8" s="44"/>
      <c r="C8" s="53"/>
      <c r="D8" s="49"/>
      <c r="E8" s="49"/>
      <c r="F8" s="49"/>
      <c r="G8" s="51"/>
    </row>
    <row r="9" spans="1:22" ht="20.25" customHeight="1" thickTop="1" x14ac:dyDescent="0.25">
      <c r="A9" s="41" t="s">
        <v>26</v>
      </c>
      <c r="C9" s="24" t="str">
        <f t="shared" ref="C9:C40" si="0">IFERROR(J9*K9*L9,"")</f>
        <v/>
      </c>
      <c r="D9" s="37"/>
      <c r="E9" s="37"/>
      <c r="F9" s="37"/>
      <c r="G9" s="37"/>
      <c r="J9" s="22" t="str">
        <f t="shared" ref="J9:J40" si="1">IF(E9="Sem gravidade",1,IF(E9="Pouca gravidade",2,IF(E9="Grave",3,IF(E9="Muito grave",4,IF(E9="Extremamente grave",5,"")))))</f>
        <v/>
      </c>
      <c r="K9" s="22" t="str">
        <f t="shared" ref="K9:K40" si="2">IF(F9=$M$15,1,IF(F9=$M$16,2,IF(F9=$M$17,3,IF(F9=$M$18,4,IF(F9=$M$19,5,"")))))</f>
        <v/>
      </c>
      <c r="L9" s="22" t="str">
        <f t="shared" ref="L9:L40" si="3">IF(G9=$M$21,1,IF(G9=$M$22,2,IF(G9=$M$23,3,IF(G9=$M$24,4,IF(G9=$M$25,5,"")))))</f>
        <v/>
      </c>
      <c r="M9" t="s">
        <v>6</v>
      </c>
    </row>
    <row r="10" spans="1:22" ht="20.25" customHeight="1" x14ac:dyDescent="0.25">
      <c r="A10" s="14" t="s">
        <v>24</v>
      </c>
      <c r="C10" s="25" t="str">
        <f t="shared" si="0"/>
        <v/>
      </c>
      <c r="D10" s="37"/>
      <c r="E10" s="37"/>
      <c r="F10" s="37"/>
      <c r="G10" s="37"/>
      <c r="J10" s="22" t="str">
        <f t="shared" si="1"/>
        <v/>
      </c>
      <c r="K10" s="22" t="str">
        <f t="shared" si="2"/>
        <v/>
      </c>
      <c r="L10" s="22" t="str">
        <f t="shared" si="3"/>
        <v/>
      </c>
      <c r="M10" t="s">
        <v>7</v>
      </c>
      <c r="V10" s="3"/>
    </row>
    <row r="11" spans="1:22" ht="20.25" customHeight="1" x14ac:dyDescent="0.25">
      <c r="A11" s="40" t="s">
        <v>25</v>
      </c>
      <c r="C11" s="25" t="str">
        <f t="shared" si="0"/>
        <v/>
      </c>
      <c r="D11" s="37"/>
      <c r="E11" s="37"/>
      <c r="F11" s="37"/>
      <c r="G11" s="37"/>
      <c r="J11" s="22" t="str">
        <f t="shared" si="1"/>
        <v/>
      </c>
      <c r="K11" s="22" t="str">
        <f t="shared" si="2"/>
        <v/>
      </c>
      <c r="L11" s="22" t="str">
        <f t="shared" si="3"/>
        <v/>
      </c>
      <c r="M11" t="s">
        <v>8</v>
      </c>
      <c r="U11" s="3"/>
    </row>
    <row r="12" spans="1:22" ht="20.25" customHeight="1" x14ac:dyDescent="0.25">
      <c r="A12" s="15"/>
      <c r="C12" s="25" t="str">
        <f t="shared" si="0"/>
        <v/>
      </c>
      <c r="D12" s="37"/>
      <c r="E12" s="37"/>
      <c r="F12" s="37"/>
      <c r="G12" s="37"/>
      <c r="J12" s="22" t="str">
        <f t="shared" si="1"/>
        <v/>
      </c>
      <c r="K12" s="22" t="str">
        <f t="shared" si="2"/>
        <v/>
      </c>
      <c r="L12" s="22" t="str">
        <f t="shared" si="3"/>
        <v/>
      </c>
      <c r="M12" t="s">
        <v>9</v>
      </c>
      <c r="R12" s="3"/>
      <c r="S12" s="3"/>
      <c r="T12" s="3"/>
      <c r="V12" s="3"/>
    </row>
    <row r="13" spans="1:22" ht="20.25" customHeight="1" x14ac:dyDescent="0.25">
      <c r="A13" s="46"/>
      <c r="C13" s="25" t="str">
        <f t="shared" si="0"/>
        <v/>
      </c>
      <c r="D13" s="37"/>
      <c r="E13" s="37"/>
      <c r="F13" s="37"/>
      <c r="G13" s="37"/>
      <c r="J13" s="22" t="str">
        <f t="shared" si="1"/>
        <v/>
      </c>
      <c r="K13" s="22" t="str">
        <f t="shared" si="2"/>
        <v/>
      </c>
      <c r="L13" s="22" t="str">
        <f t="shared" si="3"/>
        <v/>
      </c>
      <c r="M13" t="s">
        <v>10</v>
      </c>
      <c r="R13" s="8"/>
      <c r="S13" s="7"/>
      <c r="U13" s="3"/>
    </row>
    <row r="14" spans="1:22" ht="20.25" customHeight="1" x14ac:dyDescent="0.25">
      <c r="A14" s="46"/>
      <c r="C14" s="25" t="str">
        <f t="shared" si="0"/>
        <v/>
      </c>
      <c r="D14" s="37"/>
      <c r="E14" s="37"/>
      <c r="F14" s="37"/>
      <c r="G14" s="37"/>
      <c r="J14" s="22" t="str">
        <f t="shared" si="1"/>
        <v/>
      </c>
      <c r="K14" s="22" t="str">
        <f t="shared" si="2"/>
        <v/>
      </c>
      <c r="L14" s="22" t="str">
        <f t="shared" si="3"/>
        <v/>
      </c>
      <c r="R14" s="6"/>
      <c r="S14" s="3"/>
      <c r="T14" s="3"/>
    </row>
    <row r="15" spans="1:22" ht="20.25" customHeight="1" x14ac:dyDescent="0.25">
      <c r="A15" s="46"/>
      <c r="C15" s="25" t="str">
        <f t="shared" si="0"/>
        <v/>
      </c>
      <c r="D15" s="37"/>
      <c r="E15" s="37"/>
      <c r="F15" s="37"/>
      <c r="G15" s="37"/>
      <c r="J15" s="22" t="str">
        <f t="shared" si="1"/>
        <v/>
      </c>
      <c r="K15" s="22" t="str">
        <f t="shared" si="2"/>
        <v/>
      </c>
      <c r="L15" s="22" t="str">
        <f t="shared" si="3"/>
        <v/>
      </c>
      <c r="M15" t="s">
        <v>11</v>
      </c>
      <c r="S15" s="5"/>
      <c r="T15" s="5"/>
    </row>
    <row r="16" spans="1:22" ht="20.25" customHeight="1" x14ac:dyDescent="0.25">
      <c r="A16" s="46"/>
      <c r="C16" s="25" t="str">
        <f t="shared" si="0"/>
        <v/>
      </c>
      <c r="D16" s="37"/>
      <c r="E16" s="37"/>
      <c r="F16" s="37"/>
      <c r="G16" s="37"/>
      <c r="J16" s="22" t="str">
        <f t="shared" si="1"/>
        <v/>
      </c>
      <c r="K16" s="22" t="str">
        <f t="shared" si="2"/>
        <v/>
      </c>
      <c r="L16" s="22" t="str">
        <f t="shared" si="3"/>
        <v/>
      </c>
      <c r="M16" t="s">
        <v>12</v>
      </c>
    </row>
    <row r="17" spans="1:18" ht="20.25" customHeight="1" x14ac:dyDescent="0.25">
      <c r="A17" s="46"/>
      <c r="C17" s="25" t="str">
        <f t="shared" si="0"/>
        <v/>
      </c>
      <c r="D17" s="37"/>
      <c r="E17" s="37"/>
      <c r="F17" s="37"/>
      <c r="G17" s="37"/>
      <c r="J17" s="22" t="str">
        <f t="shared" si="1"/>
        <v/>
      </c>
      <c r="K17" s="22" t="str">
        <f t="shared" si="2"/>
        <v/>
      </c>
      <c r="L17" s="22" t="str">
        <f t="shared" si="3"/>
        <v/>
      </c>
      <c r="M17" t="s">
        <v>13</v>
      </c>
      <c r="R17" s="2"/>
    </row>
    <row r="18" spans="1:18" ht="20.25" customHeight="1" x14ac:dyDescent="0.25">
      <c r="A18" s="46"/>
      <c r="C18" s="25" t="str">
        <f t="shared" si="0"/>
        <v/>
      </c>
      <c r="D18" s="37"/>
      <c r="E18" s="37"/>
      <c r="F18" s="37"/>
      <c r="G18" s="37"/>
      <c r="J18" s="22" t="str">
        <f t="shared" si="1"/>
        <v/>
      </c>
      <c r="K18" s="22" t="str">
        <f t="shared" si="2"/>
        <v/>
      </c>
      <c r="L18" s="22" t="str">
        <f t="shared" si="3"/>
        <v/>
      </c>
      <c r="M18" t="s">
        <v>14</v>
      </c>
      <c r="R18" s="2"/>
    </row>
    <row r="19" spans="1:18" ht="20.25" customHeight="1" x14ac:dyDescent="0.25">
      <c r="A19" s="47"/>
      <c r="C19" s="25" t="str">
        <f t="shared" si="0"/>
        <v/>
      </c>
      <c r="D19" s="37"/>
      <c r="E19" s="37"/>
      <c r="F19" s="37"/>
      <c r="G19" s="37"/>
      <c r="J19" s="22" t="str">
        <f t="shared" si="1"/>
        <v/>
      </c>
      <c r="K19" s="22" t="str">
        <f t="shared" si="2"/>
        <v/>
      </c>
      <c r="L19" s="22" t="str">
        <f t="shared" si="3"/>
        <v/>
      </c>
      <c r="M19" t="s">
        <v>15</v>
      </c>
      <c r="R19" s="2"/>
    </row>
    <row r="20" spans="1:18" ht="20.25" customHeight="1" x14ac:dyDescent="0.25">
      <c r="A20" s="47"/>
      <c r="C20" s="25" t="str">
        <f t="shared" si="0"/>
        <v/>
      </c>
      <c r="D20" s="37"/>
      <c r="E20" s="37"/>
      <c r="F20" s="37"/>
      <c r="G20" s="37"/>
      <c r="J20" s="22" t="str">
        <f t="shared" si="1"/>
        <v/>
      </c>
      <c r="K20" s="22" t="str">
        <f t="shared" si="2"/>
        <v/>
      </c>
      <c r="L20" s="22" t="str">
        <f t="shared" si="3"/>
        <v/>
      </c>
      <c r="R20" s="2"/>
    </row>
    <row r="21" spans="1:18" ht="20.25" customHeight="1" x14ac:dyDescent="0.25">
      <c r="A21" s="47"/>
      <c r="C21" s="25" t="str">
        <f t="shared" si="0"/>
        <v/>
      </c>
      <c r="D21" s="37"/>
      <c r="E21" s="37"/>
      <c r="F21" s="37"/>
      <c r="G21" s="37"/>
      <c r="J21" s="22" t="str">
        <f t="shared" si="1"/>
        <v/>
      </c>
      <c r="K21" s="22" t="str">
        <f t="shared" si="2"/>
        <v/>
      </c>
      <c r="L21" s="22" t="str">
        <f t="shared" si="3"/>
        <v/>
      </c>
      <c r="M21" t="s">
        <v>18</v>
      </c>
      <c r="R21" s="1"/>
    </row>
    <row r="22" spans="1:18" ht="20.25" customHeight="1" x14ac:dyDescent="0.25">
      <c r="A22" s="47"/>
      <c r="C22" s="25" t="str">
        <f t="shared" si="0"/>
        <v/>
      </c>
      <c r="D22" s="37"/>
      <c r="E22" s="37"/>
      <c r="F22" s="37"/>
      <c r="G22" s="37"/>
      <c r="J22" s="22" t="str">
        <f t="shared" si="1"/>
        <v/>
      </c>
      <c r="K22" s="22" t="str">
        <f t="shared" si="2"/>
        <v/>
      </c>
      <c r="L22" s="22" t="str">
        <f t="shared" si="3"/>
        <v/>
      </c>
      <c r="M22" t="s">
        <v>16</v>
      </c>
    </row>
    <row r="23" spans="1:18" ht="20.25" customHeight="1" x14ac:dyDescent="0.25">
      <c r="A23" s="45"/>
      <c r="C23" s="25" t="str">
        <f t="shared" si="0"/>
        <v/>
      </c>
      <c r="D23" s="37"/>
      <c r="E23" s="37"/>
      <c r="F23" s="37"/>
      <c r="G23" s="37"/>
      <c r="J23" s="22" t="str">
        <f t="shared" si="1"/>
        <v/>
      </c>
      <c r="K23" s="22" t="str">
        <f t="shared" si="2"/>
        <v/>
      </c>
      <c r="L23" s="22" t="str">
        <f t="shared" si="3"/>
        <v/>
      </c>
      <c r="M23" t="s">
        <v>17</v>
      </c>
    </row>
    <row r="24" spans="1:18" ht="20.25" customHeight="1" x14ac:dyDescent="0.25">
      <c r="A24" s="45"/>
      <c r="C24" s="25" t="str">
        <f t="shared" si="0"/>
        <v/>
      </c>
      <c r="D24" s="37"/>
      <c r="E24" s="37"/>
      <c r="F24" s="37"/>
      <c r="G24" s="37"/>
      <c r="J24" s="22" t="str">
        <f t="shared" si="1"/>
        <v/>
      </c>
      <c r="K24" s="22" t="str">
        <f t="shared" si="2"/>
        <v/>
      </c>
      <c r="L24" s="22" t="str">
        <f t="shared" si="3"/>
        <v/>
      </c>
      <c r="M24" t="s">
        <v>19</v>
      </c>
      <c r="R24" s="5"/>
    </row>
    <row r="25" spans="1:18" ht="20.25" customHeight="1" x14ac:dyDescent="0.25">
      <c r="A25" s="45"/>
      <c r="C25" s="25" t="str">
        <f t="shared" si="0"/>
        <v/>
      </c>
      <c r="D25" s="37"/>
      <c r="E25" s="37"/>
      <c r="F25" s="37"/>
      <c r="G25" s="37"/>
      <c r="J25" s="22" t="str">
        <f t="shared" si="1"/>
        <v/>
      </c>
      <c r="K25" s="22" t="str">
        <f t="shared" si="2"/>
        <v/>
      </c>
      <c r="L25" s="22" t="str">
        <f t="shared" si="3"/>
        <v/>
      </c>
      <c r="M25" t="s">
        <v>20</v>
      </c>
    </row>
    <row r="26" spans="1:18" ht="20.25" customHeight="1" x14ac:dyDescent="0.25">
      <c r="A26" s="45"/>
      <c r="C26" s="25" t="str">
        <f t="shared" si="0"/>
        <v/>
      </c>
      <c r="D26" s="37"/>
      <c r="E26" s="37"/>
      <c r="F26" s="37"/>
      <c r="G26" s="37"/>
      <c r="J26" s="22" t="str">
        <f t="shared" si="1"/>
        <v/>
      </c>
      <c r="K26" s="22" t="str">
        <f t="shared" si="2"/>
        <v/>
      </c>
      <c r="L26" s="22" t="str">
        <f t="shared" si="3"/>
        <v/>
      </c>
    </row>
    <row r="27" spans="1:18" ht="20.25" customHeight="1" x14ac:dyDescent="0.25">
      <c r="C27" s="25" t="str">
        <f t="shared" si="0"/>
        <v/>
      </c>
      <c r="D27" s="37"/>
      <c r="E27" s="37"/>
      <c r="F27" s="37"/>
      <c r="G27" s="37"/>
      <c r="J27" s="22" t="str">
        <f t="shared" si="1"/>
        <v/>
      </c>
      <c r="K27" s="22" t="str">
        <f t="shared" si="2"/>
        <v/>
      </c>
      <c r="L27" s="22" t="str">
        <f t="shared" si="3"/>
        <v/>
      </c>
    </row>
    <row r="28" spans="1:18" ht="20.25" customHeight="1" x14ac:dyDescent="0.25">
      <c r="C28" s="25" t="str">
        <f t="shared" si="0"/>
        <v/>
      </c>
      <c r="D28" s="37"/>
      <c r="E28" s="37"/>
      <c r="F28" s="37"/>
      <c r="G28" s="37"/>
      <c r="J28" s="22" t="str">
        <f t="shared" si="1"/>
        <v/>
      </c>
      <c r="K28" s="22" t="str">
        <f t="shared" si="2"/>
        <v/>
      </c>
      <c r="L28" s="22" t="str">
        <f t="shared" si="3"/>
        <v/>
      </c>
      <c r="R28" s="5"/>
    </row>
    <row r="29" spans="1:18" ht="20.25" customHeight="1" x14ac:dyDescent="0.25">
      <c r="C29" s="25" t="str">
        <f t="shared" si="0"/>
        <v/>
      </c>
      <c r="D29" s="37"/>
      <c r="E29" s="37"/>
      <c r="F29" s="37"/>
      <c r="G29" s="37"/>
      <c r="J29" s="22" t="str">
        <f t="shared" si="1"/>
        <v/>
      </c>
      <c r="K29" s="22" t="str">
        <f t="shared" si="2"/>
        <v/>
      </c>
      <c r="L29" s="22" t="str">
        <f t="shared" si="3"/>
        <v/>
      </c>
    </row>
    <row r="30" spans="1:18" ht="20.25" customHeight="1" x14ac:dyDescent="0.25">
      <c r="C30" s="25" t="str">
        <f t="shared" si="0"/>
        <v/>
      </c>
      <c r="D30" s="37"/>
      <c r="E30" s="37"/>
      <c r="F30" s="37"/>
      <c r="G30" s="37"/>
      <c r="J30" s="22" t="str">
        <f t="shared" si="1"/>
        <v/>
      </c>
      <c r="K30" s="22" t="str">
        <f t="shared" si="2"/>
        <v/>
      </c>
      <c r="L30" s="22" t="str">
        <f t="shared" si="3"/>
        <v/>
      </c>
      <c r="R30" s="5"/>
    </row>
    <row r="31" spans="1:18" ht="20.25" customHeight="1" x14ac:dyDescent="0.25">
      <c r="C31" s="25" t="str">
        <f t="shared" si="0"/>
        <v/>
      </c>
      <c r="D31" s="37"/>
      <c r="E31" s="37"/>
      <c r="F31" s="37"/>
      <c r="G31" s="37"/>
      <c r="J31" s="22" t="str">
        <f t="shared" si="1"/>
        <v/>
      </c>
      <c r="K31" s="22" t="str">
        <f t="shared" si="2"/>
        <v/>
      </c>
      <c r="L31" s="22" t="str">
        <f t="shared" si="3"/>
        <v/>
      </c>
      <c r="R31" s="5"/>
    </row>
    <row r="32" spans="1:18" ht="20.25" customHeight="1" x14ac:dyDescent="0.25">
      <c r="C32" s="25" t="str">
        <f t="shared" si="0"/>
        <v/>
      </c>
      <c r="D32" s="37"/>
      <c r="E32" s="37"/>
      <c r="F32" s="37"/>
      <c r="G32" s="37"/>
      <c r="J32" s="22" t="str">
        <f t="shared" si="1"/>
        <v/>
      </c>
      <c r="K32" s="22" t="str">
        <f t="shared" si="2"/>
        <v/>
      </c>
      <c r="L32" s="22" t="str">
        <f t="shared" si="3"/>
        <v/>
      </c>
      <c r="R32" s="5"/>
    </row>
    <row r="33" spans="3:22" ht="20.25" customHeight="1" x14ac:dyDescent="0.25">
      <c r="C33" s="25" t="str">
        <f t="shared" si="0"/>
        <v/>
      </c>
      <c r="D33" s="37"/>
      <c r="E33" s="37"/>
      <c r="F33" s="37"/>
      <c r="G33" s="37"/>
      <c r="J33" s="22" t="str">
        <f t="shared" si="1"/>
        <v/>
      </c>
      <c r="K33" s="22" t="str">
        <f t="shared" si="2"/>
        <v/>
      </c>
      <c r="L33" s="22" t="str">
        <f t="shared" si="3"/>
        <v/>
      </c>
      <c r="R33" s="5"/>
    </row>
    <row r="34" spans="3:22" ht="20.25" customHeight="1" x14ac:dyDescent="0.25">
      <c r="C34" s="25" t="str">
        <f t="shared" si="0"/>
        <v/>
      </c>
      <c r="D34" s="37"/>
      <c r="E34" s="37"/>
      <c r="F34" s="37"/>
      <c r="G34" s="37"/>
      <c r="J34" s="22" t="str">
        <f t="shared" si="1"/>
        <v/>
      </c>
      <c r="K34" s="22" t="str">
        <f t="shared" si="2"/>
        <v/>
      </c>
      <c r="L34" s="22" t="str">
        <f t="shared" si="3"/>
        <v/>
      </c>
    </row>
    <row r="35" spans="3:22" ht="20.25" customHeight="1" x14ac:dyDescent="0.25">
      <c r="C35" s="25" t="str">
        <f t="shared" si="0"/>
        <v/>
      </c>
      <c r="D35" s="37"/>
      <c r="E35" s="37"/>
      <c r="F35" s="37"/>
      <c r="G35" s="37"/>
      <c r="J35" s="22" t="str">
        <f t="shared" si="1"/>
        <v/>
      </c>
      <c r="K35" s="22" t="str">
        <f t="shared" si="2"/>
        <v/>
      </c>
      <c r="L35" s="22" t="str">
        <f t="shared" si="3"/>
        <v/>
      </c>
    </row>
    <row r="36" spans="3:22" ht="20.25" customHeight="1" x14ac:dyDescent="0.25">
      <c r="C36" s="25" t="str">
        <f t="shared" si="0"/>
        <v/>
      </c>
      <c r="D36" s="37"/>
      <c r="E36" s="37"/>
      <c r="F36" s="37"/>
      <c r="G36" s="37"/>
      <c r="J36" s="22" t="str">
        <f t="shared" si="1"/>
        <v/>
      </c>
      <c r="K36" s="22" t="str">
        <f t="shared" si="2"/>
        <v/>
      </c>
      <c r="L36" s="22" t="str">
        <f t="shared" si="3"/>
        <v/>
      </c>
    </row>
    <row r="37" spans="3:22" ht="20.25" customHeight="1" x14ac:dyDescent="0.25">
      <c r="C37" s="25" t="str">
        <f t="shared" si="0"/>
        <v/>
      </c>
      <c r="D37" s="37"/>
      <c r="E37" s="37"/>
      <c r="F37" s="37"/>
      <c r="G37" s="37"/>
      <c r="J37" s="22" t="str">
        <f t="shared" si="1"/>
        <v/>
      </c>
      <c r="K37" s="22" t="str">
        <f t="shared" si="2"/>
        <v/>
      </c>
      <c r="L37" s="22" t="str">
        <f t="shared" si="3"/>
        <v/>
      </c>
    </row>
    <row r="38" spans="3:22" ht="20.25" customHeight="1" x14ac:dyDescent="0.25">
      <c r="C38" s="25" t="str">
        <f t="shared" si="0"/>
        <v/>
      </c>
      <c r="D38" s="37"/>
      <c r="E38" s="37"/>
      <c r="F38" s="37"/>
      <c r="G38" s="37"/>
      <c r="J38" s="22" t="str">
        <f t="shared" si="1"/>
        <v/>
      </c>
      <c r="K38" s="22" t="str">
        <f t="shared" si="2"/>
        <v/>
      </c>
      <c r="L38" s="22" t="str">
        <f t="shared" si="3"/>
        <v/>
      </c>
    </row>
    <row r="39" spans="3:22" ht="20.25" customHeight="1" x14ac:dyDescent="0.25">
      <c r="C39" s="25" t="str">
        <f t="shared" si="0"/>
        <v/>
      </c>
      <c r="D39" s="37"/>
      <c r="E39" s="37"/>
      <c r="F39" s="37"/>
      <c r="G39" s="37"/>
      <c r="J39" s="22" t="str">
        <f t="shared" si="1"/>
        <v/>
      </c>
      <c r="K39" s="22" t="str">
        <f t="shared" si="2"/>
        <v/>
      </c>
      <c r="L39" s="22" t="str">
        <f t="shared" si="3"/>
        <v/>
      </c>
    </row>
    <row r="40" spans="3:22" ht="20.25" customHeight="1" x14ac:dyDescent="0.25">
      <c r="C40" s="26" t="str">
        <f t="shared" si="0"/>
        <v/>
      </c>
      <c r="D40" s="37"/>
      <c r="E40" s="37"/>
      <c r="F40" s="37"/>
      <c r="G40" s="37"/>
      <c r="J40" s="22" t="str">
        <f t="shared" si="1"/>
        <v/>
      </c>
      <c r="K40" s="22" t="str">
        <f t="shared" si="2"/>
        <v/>
      </c>
      <c r="L40" s="22" t="str">
        <f t="shared" si="3"/>
        <v/>
      </c>
    </row>
    <row r="41" spans="3:22" ht="20.25" customHeight="1" x14ac:dyDescent="0.25">
      <c r="C41" s="21"/>
      <c r="D41" s="21"/>
      <c r="E41" s="21"/>
      <c r="F41" s="21"/>
      <c r="G41" s="21"/>
    </row>
    <row r="42" spans="3:22" ht="20.25" customHeight="1" x14ac:dyDescent="0.25">
      <c r="C42" s="21"/>
      <c r="D42" s="21"/>
      <c r="E42" s="21"/>
      <c r="F42" s="21"/>
      <c r="G42" s="21"/>
      <c r="V42" s="3"/>
    </row>
    <row r="43" spans="3:22" ht="14.45" customHeight="1" x14ac:dyDescent="0.25">
      <c r="C43" s="21"/>
      <c r="D43" s="21"/>
      <c r="E43" s="21"/>
      <c r="F43" s="21"/>
      <c r="G43" s="21"/>
      <c r="R43" s="1"/>
      <c r="U43" s="3"/>
    </row>
    <row r="44" spans="3:22" ht="14.45" customHeight="1" x14ac:dyDescent="0.25">
      <c r="C44" s="21"/>
      <c r="D44" s="21"/>
      <c r="E44" s="21"/>
      <c r="F44" s="21"/>
      <c r="G44" s="21"/>
      <c r="R44" s="1"/>
      <c r="U44" s="3"/>
    </row>
    <row r="45" spans="3:22" ht="14.45" customHeight="1" x14ac:dyDescent="0.25">
      <c r="C45" s="21"/>
      <c r="D45" s="21"/>
      <c r="E45" s="21"/>
      <c r="F45" s="21"/>
      <c r="G45" s="21"/>
      <c r="R45" s="1"/>
      <c r="U45" s="3"/>
    </row>
    <row r="46" spans="3:22" ht="14.45" customHeight="1" x14ac:dyDescent="0.25">
      <c r="C46" s="21"/>
      <c r="D46" s="21"/>
      <c r="E46" s="21"/>
      <c r="F46" s="21"/>
      <c r="G46" s="21"/>
      <c r="R46" s="1"/>
      <c r="U46" s="3"/>
    </row>
    <row r="47" spans="3:22" ht="14.45" customHeight="1" x14ac:dyDescent="0.25">
      <c r="C47" s="21"/>
      <c r="D47" s="21"/>
      <c r="E47" s="21"/>
      <c r="F47" s="21"/>
      <c r="G47" s="21"/>
      <c r="R47" s="1"/>
      <c r="U47" s="3"/>
    </row>
    <row r="48" spans="3:22" ht="15" customHeight="1" x14ac:dyDescent="0.25">
      <c r="C48" s="21"/>
      <c r="D48" s="21"/>
      <c r="E48" s="21"/>
      <c r="F48" s="21"/>
      <c r="G48" s="21"/>
      <c r="R48" s="3"/>
      <c r="S48" s="3"/>
      <c r="T48" s="3"/>
    </row>
    <row r="49" spans="18:22" ht="15" customHeight="1" x14ac:dyDescent="0.25">
      <c r="V49" s="3"/>
    </row>
    <row r="50" spans="18:22" ht="14.45" customHeight="1" x14ac:dyDescent="0.25">
      <c r="V50" s="3"/>
    </row>
    <row r="51" spans="18:22" ht="14.45" customHeight="1" x14ac:dyDescent="0.25">
      <c r="V51" s="3"/>
    </row>
    <row r="52" spans="18:22" ht="14.45" customHeight="1" x14ac:dyDescent="0.25">
      <c r="V52" s="3"/>
    </row>
    <row r="53" spans="18:22" x14ac:dyDescent="0.25">
      <c r="U53" s="3"/>
    </row>
    <row r="54" spans="18:22" x14ac:dyDescent="0.25">
      <c r="U54" s="3"/>
    </row>
    <row r="55" spans="18:22" x14ac:dyDescent="0.25">
      <c r="U55" s="3"/>
    </row>
    <row r="56" spans="18:22" x14ac:dyDescent="0.25">
      <c r="U56" s="3"/>
    </row>
    <row r="57" spans="18:22" x14ac:dyDescent="0.25">
      <c r="R57" s="3"/>
      <c r="S57" s="3"/>
      <c r="T57" s="3"/>
    </row>
    <row r="58" spans="18:22" x14ac:dyDescent="0.25">
      <c r="V58" s="3"/>
    </row>
    <row r="59" spans="18:22" x14ac:dyDescent="0.25">
      <c r="U59" s="3"/>
    </row>
    <row r="60" spans="18:22" x14ac:dyDescent="0.25">
      <c r="R60" s="3"/>
      <c r="S60" s="3"/>
      <c r="T60" s="3"/>
    </row>
    <row r="61" spans="18:22" x14ac:dyDescent="0.25">
      <c r="V61" s="3"/>
    </row>
    <row r="62" spans="18:22" x14ac:dyDescent="0.25">
      <c r="U62" s="3"/>
    </row>
    <row r="63" spans="18:22" x14ac:dyDescent="0.25">
      <c r="R63" s="4"/>
      <c r="S63" s="3"/>
      <c r="T63" s="3"/>
    </row>
    <row r="64" spans="18:22" x14ac:dyDescent="0.25">
      <c r="R64" s="2"/>
    </row>
    <row r="65" spans="6:7" x14ac:dyDescent="0.25">
      <c r="G65" s="16"/>
    </row>
    <row r="66" spans="6:7" x14ac:dyDescent="0.25">
      <c r="F66" s="18"/>
      <c r="G66" s="17"/>
    </row>
    <row r="67" spans="6:7" x14ac:dyDescent="0.25">
      <c r="F67" s="18"/>
      <c r="G67" s="17"/>
    </row>
    <row r="68" spans="6:7" x14ac:dyDescent="0.25">
      <c r="F68" s="18"/>
      <c r="G68" s="17"/>
    </row>
    <row r="69" spans="6:7" x14ac:dyDescent="0.25">
      <c r="F69" s="18"/>
      <c r="G69" s="17"/>
    </row>
    <row r="70" spans="6:7" x14ac:dyDescent="0.25">
      <c r="F70" s="18"/>
      <c r="G70" s="17"/>
    </row>
    <row r="72" spans="6:7" x14ac:dyDescent="0.25">
      <c r="G72" s="17"/>
    </row>
  </sheetData>
  <sortState ref="C7:G40">
    <sortCondition ref="C9"/>
  </sortState>
  <mergeCells count="14">
    <mergeCell ref="F7:F8"/>
    <mergeCell ref="G7:G8"/>
    <mergeCell ref="C1:I5"/>
    <mergeCell ref="A15:A16"/>
    <mergeCell ref="A7:A8"/>
    <mergeCell ref="A13:A14"/>
    <mergeCell ref="D7:D8"/>
    <mergeCell ref="E7:E8"/>
    <mergeCell ref="C7:C8"/>
    <mergeCell ref="A23:A24"/>
    <mergeCell ref="A21:A22"/>
    <mergeCell ref="A19:A20"/>
    <mergeCell ref="A17:A18"/>
    <mergeCell ref="A25:A26"/>
  </mergeCells>
  <conditionalFormatting sqref="E9">
    <cfRule type="containsText" dxfId="27" priority="13" operator="containsText" text="Extremamente grave">
      <formula>NOT(ISERROR(SEARCH("Extremamente grave",E9)))</formula>
    </cfRule>
    <cfRule type="containsText" dxfId="26" priority="14" operator="containsText" text="Muito grave">
      <formula>NOT(ISERROR(SEARCH("Muito grave",E9)))</formula>
    </cfRule>
    <cfRule type="containsText" dxfId="25" priority="15" operator="containsText" text="Grave">
      <formula>NOT(ISERROR(SEARCH("Grave",E9)))</formula>
    </cfRule>
    <cfRule type="containsText" dxfId="24" priority="16" operator="containsText" text="Pouca gravidade">
      <formula>NOT(ISERROR(SEARCH("Pouca gravidade",E9)))</formula>
    </cfRule>
  </conditionalFormatting>
  <conditionalFormatting sqref="E10:E40">
    <cfRule type="containsText" dxfId="23" priority="9" operator="containsText" text="Extremamente grave">
      <formula>NOT(ISERROR(SEARCH("Extremamente grave",E10)))</formula>
    </cfRule>
    <cfRule type="containsText" dxfId="22" priority="10" operator="containsText" text="Muito grave">
      <formula>NOT(ISERROR(SEARCH("Muito grave",E10)))</formula>
    </cfRule>
    <cfRule type="containsText" dxfId="21" priority="11" operator="containsText" text="Grave">
      <formula>NOT(ISERROR(SEARCH("Grave",E10)))</formula>
    </cfRule>
    <cfRule type="containsText" dxfId="20" priority="12" operator="containsText" text="Pouca gravidade">
      <formula>NOT(ISERROR(SEARCH("Pouca gravidade",E10)))</formula>
    </cfRule>
  </conditionalFormatting>
  <conditionalFormatting sqref="F9:F40">
    <cfRule type="containsText" dxfId="19" priority="5" operator="containsText" text="Imediatamente">
      <formula>NOT(ISERROR(SEARCH("Imediatamente",F9)))</formula>
    </cfRule>
    <cfRule type="containsText" dxfId="18" priority="6" operator="containsText" text="Curto prazo">
      <formula>NOT(ISERROR(SEARCH("Curto prazo",F9)))</formula>
    </cfRule>
    <cfRule type="containsText" dxfId="17" priority="7" operator="containsText" text="Médio prazo">
      <formula>NOT(ISERROR(SEARCH("Médio prazo",F9)))</formula>
    </cfRule>
    <cfRule type="containsText" dxfId="16" priority="8" operator="containsText" text="Longo prazo">
      <formula>NOT(ISERROR(SEARCH("Longo prazo",F9)))</formula>
    </cfRule>
  </conditionalFormatting>
  <conditionalFormatting sqref="G9:G40">
    <cfRule type="containsText" dxfId="15" priority="1" operator="containsText" text="Piorar muito">
      <formula>NOT(ISERROR(SEARCH("Piorar muito",G9)))</formula>
    </cfRule>
    <cfRule type="containsText" dxfId="14" priority="2" operator="containsText" text="Aumentar">
      <formula>NOT(ISERROR(SEARCH("Aumentar",G9)))</formula>
    </cfRule>
    <cfRule type="containsText" dxfId="13" priority="3" operator="containsText" text="Permanecer">
      <formula>NOT(ISERROR(SEARCH("Permanecer",G9)))</formula>
    </cfRule>
    <cfRule type="containsText" dxfId="12" priority="4" operator="containsText" text="Reduzir">
      <formula>NOT(ISERROR(SEARCH("Reduzir",G9)))</formula>
    </cfRule>
  </conditionalFormatting>
  <dataValidations count="3">
    <dataValidation type="list" allowBlank="1" showInputMessage="1" showErrorMessage="1" sqref="E9:E40">
      <formula1>$M$9:$M$13</formula1>
    </dataValidation>
    <dataValidation type="list" allowBlank="1" showInputMessage="1" showErrorMessage="1" sqref="F9:F40">
      <formula1>$M$15:$M$19</formula1>
    </dataValidation>
    <dataValidation type="list" allowBlank="1" showInputMessage="1" showErrorMessage="1" sqref="G9:G40">
      <formula1>$M$21:$M$25</formula1>
    </dataValidation>
  </dataValidations>
  <hyperlinks>
    <hyperlink ref="A11" location="'3. Ranking'!A1" display="3. Ranking de prioridades"/>
    <hyperlink ref="A9" location="'1. Instruções'!A1" display="1. Instruções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W72"/>
  <sheetViews>
    <sheetView showGridLines="0" zoomScale="90" zoomScaleNormal="90" workbookViewId="0">
      <pane xSplit="1" ySplit="6" topLeftCell="B7" activePane="bottomRight" state="frozen"/>
      <selection activeCell="C15" sqref="C15"/>
      <selection pane="topRight" activeCell="C15" sqref="C15"/>
      <selection pane="bottomLeft" activeCell="C15" sqref="C15"/>
      <selection pane="bottomRight" activeCell="B7" sqref="B7"/>
    </sheetView>
  </sheetViews>
  <sheetFormatPr defaultColWidth="0" defaultRowHeight="15.75" x14ac:dyDescent="0.25"/>
  <cols>
    <col min="1" max="1" width="28.85546875" style="12" customWidth="1"/>
    <col min="2" max="2" width="3.7109375" customWidth="1"/>
    <col min="3" max="3" width="15.7109375" style="13" customWidth="1"/>
    <col min="4" max="4" width="22.28515625" style="13" customWidth="1"/>
    <col min="5" max="5" width="83.140625" style="13" customWidth="1"/>
    <col min="6" max="6" width="22.28515625" style="13" customWidth="1"/>
    <col min="7" max="8" width="17" style="13" customWidth="1"/>
    <col min="9" max="10" width="14.42578125" customWidth="1"/>
    <col min="11" max="18" width="14.42578125" hidden="1" customWidth="1"/>
    <col min="19" max="19" width="12" hidden="1" customWidth="1"/>
    <col min="20" max="20" width="11.42578125" hidden="1" customWidth="1"/>
    <col min="21" max="21" width="10.42578125" hidden="1" customWidth="1"/>
    <col min="22" max="23" width="0" hidden="1" customWidth="1"/>
    <col min="24" max="16384" width="8.85546875" hidden="1"/>
  </cols>
  <sheetData>
    <row r="1" spans="1:23" ht="14.45" customHeight="1" x14ac:dyDescent="0.25">
      <c r="B1" s="10"/>
      <c r="C1" s="42" t="s">
        <v>29</v>
      </c>
      <c r="D1" s="42"/>
      <c r="E1" s="42"/>
      <c r="F1" s="42"/>
      <c r="G1" s="42"/>
      <c r="H1" s="42"/>
      <c r="I1" s="42"/>
      <c r="J1" s="42"/>
      <c r="K1" s="19"/>
      <c r="L1" s="19"/>
      <c r="M1" s="19"/>
      <c r="N1" s="20"/>
      <c r="O1" s="20"/>
      <c r="P1" s="20"/>
      <c r="Q1" s="20"/>
      <c r="R1" s="20"/>
    </row>
    <row r="2" spans="1:23" ht="14.45" customHeight="1" x14ac:dyDescent="0.25">
      <c r="B2" s="10"/>
      <c r="C2" s="42"/>
      <c r="D2" s="42"/>
      <c r="E2" s="42"/>
      <c r="F2" s="42"/>
      <c r="G2" s="42"/>
      <c r="H2" s="42"/>
      <c r="I2" s="42"/>
      <c r="J2" s="42"/>
      <c r="K2" s="19"/>
      <c r="L2" s="19"/>
      <c r="M2" s="19"/>
      <c r="N2" s="20"/>
      <c r="O2" s="20"/>
      <c r="P2" s="20"/>
      <c r="Q2" s="20"/>
      <c r="R2" s="20"/>
    </row>
    <row r="3" spans="1:23" ht="14.45" customHeight="1" x14ac:dyDescent="0.25">
      <c r="B3" s="10"/>
      <c r="C3" s="42"/>
      <c r="D3" s="42"/>
      <c r="E3" s="42"/>
      <c r="F3" s="42"/>
      <c r="G3" s="42"/>
      <c r="H3" s="42"/>
      <c r="I3" s="42"/>
      <c r="J3" s="42"/>
      <c r="K3" s="19"/>
      <c r="L3" s="19"/>
      <c r="M3" s="19"/>
      <c r="N3" s="20"/>
      <c r="O3" s="20"/>
      <c r="P3" s="20"/>
      <c r="Q3" s="20"/>
      <c r="R3" s="20"/>
    </row>
    <row r="4" spans="1:23" ht="14.45" customHeight="1" x14ac:dyDescent="0.25">
      <c r="B4" s="10"/>
      <c r="C4" s="42"/>
      <c r="D4" s="42"/>
      <c r="E4" s="42"/>
      <c r="F4" s="42"/>
      <c r="G4" s="42"/>
      <c r="H4" s="42"/>
      <c r="I4" s="42"/>
      <c r="J4" s="42"/>
      <c r="K4" s="19"/>
      <c r="L4" s="19"/>
      <c r="M4" s="19"/>
      <c r="N4" s="20"/>
      <c r="O4" s="20"/>
      <c r="P4" s="20"/>
      <c r="Q4" s="20"/>
      <c r="R4" s="20"/>
    </row>
    <row r="5" spans="1:23" ht="14.45" customHeight="1" x14ac:dyDescent="0.25">
      <c r="B5" s="10"/>
      <c r="C5" s="42"/>
      <c r="D5" s="42"/>
      <c r="E5" s="42"/>
      <c r="F5" s="42"/>
      <c r="G5" s="42"/>
      <c r="H5" s="42"/>
      <c r="I5" s="42"/>
      <c r="J5" s="42"/>
      <c r="K5" s="19"/>
      <c r="L5" s="19"/>
      <c r="M5" s="19"/>
      <c r="N5" s="20"/>
      <c r="O5" s="20"/>
      <c r="P5" s="20"/>
      <c r="Q5" s="20"/>
      <c r="R5" s="20"/>
    </row>
    <row r="6" spans="1:23" ht="14.45" customHeight="1" thickBot="1" x14ac:dyDescent="0.3">
      <c r="C6"/>
      <c r="D6"/>
      <c r="E6"/>
      <c r="F6"/>
      <c r="G6"/>
      <c r="H6"/>
      <c r="V6" s="3"/>
    </row>
    <row r="7" spans="1:23" ht="18.75" customHeight="1" thickTop="1" x14ac:dyDescent="0.25">
      <c r="A7" s="43" t="s">
        <v>0</v>
      </c>
      <c r="C7" s="54" t="s">
        <v>21</v>
      </c>
      <c r="D7" s="56" t="s">
        <v>22</v>
      </c>
      <c r="E7" s="56" t="s">
        <v>23</v>
      </c>
      <c r="F7"/>
      <c r="G7"/>
      <c r="H7"/>
      <c r="S7" s="9"/>
      <c r="T7" s="3"/>
      <c r="U7" s="3"/>
    </row>
    <row r="8" spans="1:23" ht="18.75" customHeight="1" thickBot="1" x14ac:dyDescent="0.3">
      <c r="A8" s="44"/>
      <c r="C8" s="55"/>
      <c r="D8" s="49"/>
      <c r="E8" s="49"/>
      <c r="F8"/>
      <c r="G8"/>
      <c r="H8"/>
    </row>
    <row r="9" spans="1:23" ht="20.25" customHeight="1" thickTop="1" x14ac:dyDescent="0.25">
      <c r="A9" s="11" t="s">
        <v>26</v>
      </c>
      <c r="B9" s="23">
        <v>1</v>
      </c>
      <c r="C9" s="27" t="str">
        <f>IF(D9="","",1)</f>
        <v/>
      </c>
      <c r="D9" s="28" t="str">
        <f>IFERROR(LARGE('2. Problemas'!$C$9:$C$40,B9),"")</f>
        <v/>
      </c>
      <c r="E9" s="29" t="str">
        <f>IF(D9="","",VLOOKUP(D9,'2. Problemas'!$C$9:$G$40,2))</f>
        <v/>
      </c>
      <c r="F9"/>
      <c r="G9"/>
      <c r="H9"/>
      <c r="K9" s="22" t="str">
        <f>IF(D9="Sem gravidade",1,IF(D9="Pouca gravidade",2,IF(D9="Grave",3,IF(D9="Muito grave",4,IF(D9="Extremamente grave",5,"")))))</f>
        <v/>
      </c>
      <c r="L9" s="22" t="str">
        <f>IF(E9=$N$15,1,IF(E9=$N$16,2,IF(E9=$N$17,3,IF(E9=$N$18,4,IF(E9=$N$19,5,"")))))</f>
        <v/>
      </c>
      <c r="M9" s="22" t="str">
        <f>IF(F9=$N$21,1,IF(F9=$N$22,2,IF(F9=$N$23,3,IF(F9=$N$24,4,IF(F9=$N$25,5,"")))))</f>
        <v/>
      </c>
      <c r="N9" t="s">
        <v>6</v>
      </c>
    </row>
    <row r="10" spans="1:23" ht="20.25" customHeight="1" x14ac:dyDescent="0.25">
      <c r="A10" s="36" t="s">
        <v>24</v>
      </c>
      <c r="B10" s="23">
        <v>2</v>
      </c>
      <c r="C10" s="30" t="str">
        <f>IF(D10="","",C9+1)</f>
        <v/>
      </c>
      <c r="D10" s="31" t="str">
        <f>IFERROR(LARGE('2. Problemas'!$C$9:$C$40,B10),"")</f>
        <v/>
      </c>
      <c r="E10" s="32" t="str">
        <f>IF(D10="","",VLOOKUP(D10,'2. Problemas'!$C$9:$G$40,2))</f>
        <v/>
      </c>
      <c r="F10"/>
      <c r="G10"/>
      <c r="H10"/>
      <c r="K10" s="22" t="str">
        <f t="shared" ref="K10:K40" si="0">IF(D10="Sem gravidade",1,IF(D10="Pouca gravidade",2,IF(D10="Grave",3,IF(D10="Muito grave",4,IF(D10="Extremamente grave",5,"")))))</f>
        <v/>
      </c>
      <c r="L10" s="22" t="str">
        <f t="shared" ref="L10:L40" si="1">IF(E10=$N$15,1,IF(E10=$N$16,2,IF(E10=$N$17,3,IF(E10=$N$18,4,IF(E10=$N$19,5,"")))))</f>
        <v/>
      </c>
      <c r="M10" s="22" t="str">
        <f t="shared" ref="M10:M40" si="2">IF(F10=$N$21,1,IF(F10=$N$22,2,IF(F10=$N$23,3,IF(F10=$N$24,4,IF(F10=$N$25,5,"")))))</f>
        <v/>
      </c>
      <c r="N10" t="s">
        <v>7</v>
      </c>
      <c r="W10" s="3"/>
    </row>
    <row r="11" spans="1:23" ht="20.25" customHeight="1" x14ac:dyDescent="0.25">
      <c r="A11" s="14" t="s">
        <v>25</v>
      </c>
      <c r="B11" s="23">
        <v>3</v>
      </c>
      <c r="C11" s="30" t="str">
        <f t="shared" ref="C11:C40" si="3">IF(D11="","",C10+1)</f>
        <v/>
      </c>
      <c r="D11" s="31" t="str">
        <f>IFERROR(LARGE('2. Problemas'!$C$9:$C$40,B11),"")</f>
        <v/>
      </c>
      <c r="E11" s="32" t="str">
        <f>IF(D11="","",VLOOKUP(D11,'2. Problemas'!$C$9:$G$40,2))</f>
        <v/>
      </c>
      <c r="F11"/>
      <c r="G11"/>
      <c r="H11"/>
      <c r="K11" s="22" t="str">
        <f t="shared" si="0"/>
        <v/>
      </c>
      <c r="L11" s="22" t="str">
        <f t="shared" si="1"/>
        <v/>
      </c>
      <c r="M11" s="22" t="str">
        <f t="shared" si="2"/>
        <v/>
      </c>
      <c r="N11" t="s">
        <v>8</v>
      </c>
      <c r="V11" s="3"/>
    </row>
    <row r="12" spans="1:23" ht="20.25" customHeight="1" x14ac:dyDescent="0.25">
      <c r="A12" s="15"/>
      <c r="B12" s="23">
        <v>4</v>
      </c>
      <c r="C12" s="30" t="str">
        <f t="shared" si="3"/>
        <v/>
      </c>
      <c r="D12" s="31" t="str">
        <f>IFERROR(LARGE('2. Problemas'!$C$9:$C$40,B12),"")</f>
        <v/>
      </c>
      <c r="E12" s="32" t="str">
        <f>IF(D12="","",VLOOKUP(D12,'2. Problemas'!$C$9:$G$40,2))</f>
        <v/>
      </c>
      <c r="F12"/>
      <c r="G12"/>
      <c r="H12"/>
      <c r="K12" s="22" t="str">
        <f t="shared" si="0"/>
        <v/>
      </c>
      <c r="L12" s="22" t="str">
        <f t="shared" si="1"/>
        <v/>
      </c>
      <c r="M12" s="22" t="str">
        <f t="shared" si="2"/>
        <v/>
      </c>
      <c r="N12" t="s">
        <v>9</v>
      </c>
      <c r="S12" s="3"/>
      <c r="T12" s="3"/>
      <c r="U12" s="3"/>
      <c r="W12" s="3"/>
    </row>
    <row r="13" spans="1:23" ht="20.25" customHeight="1" x14ac:dyDescent="0.25">
      <c r="A13" s="46"/>
      <c r="B13" s="23">
        <v>5</v>
      </c>
      <c r="C13" s="30" t="str">
        <f t="shared" si="3"/>
        <v/>
      </c>
      <c r="D13" s="31" t="str">
        <f>IFERROR(LARGE('2. Problemas'!$C$9:$C$40,B13),"")</f>
        <v/>
      </c>
      <c r="E13" s="32" t="str">
        <f>IF(D13="","",VLOOKUP(D13,'2. Problemas'!$C$9:$G$40,2))</f>
        <v/>
      </c>
      <c r="F13"/>
      <c r="G13"/>
      <c r="H13"/>
      <c r="K13" s="22" t="str">
        <f t="shared" si="0"/>
        <v/>
      </c>
      <c r="L13" s="22" t="str">
        <f t="shared" si="1"/>
        <v/>
      </c>
      <c r="M13" s="22" t="str">
        <f t="shared" si="2"/>
        <v/>
      </c>
      <c r="N13" t="s">
        <v>10</v>
      </c>
      <c r="S13" s="8"/>
      <c r="T13" s="7"/>
      <c r="V13" s="3"/>
    </row>
    <row r="14" spans="1:23" ht="20.25" customHeight="1" x14ac:dyDescent="0.25">
      <c r="A14" s="46"/>
      <c r="B14" s="23">
        <v>6</v>
      </c>
      <c r="C14" s="30" t="str">
        <f t="shared" si="3"/>
        <v/>
      </c>
      <c r="D14" s="31" t="str">
        <f>IFERROR(LARGE('2. Problemas'!$C$9:$C$40,B14),"")</f>
        <v/>
      </c>
      <c r="E14" s="32" t="str">
        <f>IF(D14="","",VLOOKUP(D14,'2. Problemas'!$C$9:$G$40,2))</f>
        <v/>
      </c>
      <c r="F14"/>
      <c r="G14"/>
      <c r="H14"/>
      <c r="K14" s="22" t="str">
        <f t="shared" si="0"/>
        <v/>
      </c>
      <c r="L14" s="22" t="str">
        <f t="shared" si="1"/>
        <v/>
      </c>
      <c r="M14" s="22" t="str">
        <f t="shared" si="2"/>
        <v/>
      </c>
      <c r="S14" s="6"/>
      <c r="T14" s="3"/>
      <c r="U14" s="3"/>
    </row>
    <row r="15" spans="1:23" ht="20.25" customHeight="1" x14ac:dyDescent="0.25">
      <c r="A15" s="46"/>
      <c r="B15" s="23">
        <v>7</v>
      </c>
      <c r="C15" s="30" t="str">
        <f t="shared" si="3"/>
        <v/>
      </c>
      <c r="D15" s="31" t="str">
        <f>IFERROR(LARGE('2. Problemas'!$C$9:$C$40,B15),"")</f>
        <v/>
      </c>
      <c r="E15" s="32" t="str">
        <f>IF(D15="","",VLOOKUP(D15,'2. Problemas'!$C$9:$G$40,2))</f>
        <v/>
      </c>
      <c r="F15"/>
      <c r="G15"/>
      <c r="H15"/>
      <c r="K15" s="22" t="str">
        <f t="shared" si="0"/>
        <v/>
      </c>
      <c r="L15" s="22" t="str">
        <f t="shared" si="1"/>
        <v/>
      </c>
      <c r="M15" s="22" t="str">
        <f t="shared" si="2"/>
        <v/>
      </c>
      <c r="N15" t="s">
        <v>11</v>
      </c>
      <c r="T15" s="5"/>
      <c r="U15" s="5"/>
    </row>
    <row r="16" spans="1:23" ht="20.25" customHeight="1" x14ac:dyDescent="0.25">
      <c r="A16" s="46"/>
      <c r="B16" s="23">
        <v>8</v>
      </c>
      <c r="C16" s="30" t="str">
        <f t="shared" si="3"/>
        <v/>
      </c>
      <c r="D16" s="31" t="str">
        <f>IFERROR(LARGE('2. Problemas'!$C$9:$C$40,B16),"")</f>
        <v/>
      </c>
      <c r="E16" s="32" t="str">
        <f>IF(D16="","",VLOOKUP(D16,'2. Problemas'!$C$9:$G$40,2))</f>
        <v/>
      </c>
      <c r="F16"/>
      <c r="G16"/>
      <c r="H16"/>
      <c r="K16" s="22" t="str">
        <f t="shared" si="0"/>
        <v/>
      </c>
      <c r="L16" s="22" t="str">
        <f t="shared" si="1"/>
        <v/>
      </c>
      <c r="M16" s="22" t="str">
        <f t="shared" si="2"/>
        <v/>
      </c>
      <c r="N16" t="s">
        <v>12</v>
      </c>
    </row>
    <row r="17" spans="1:19" ht="20.25" customHeight="1" x14ac:dyDescent="0.25">
      <c r="A17" s="46"/>
      <c r="B17" s="23">
        <v>9</v>
      </c>
      <c r="C17" s="30" t="str">
        <f t="shared" si="3"/>
        <v/>
      </c>
      <c r="D17" s="31" t="str">
        <f>IFERROR(LARGE('2. Problemas'!$C$9:$C$40,B17),"")</f>
        <v/>
      </c>
      <c r="E17" s="32" t="str">
        <f>IF(D17="","",VLOOKUP(D17,'2. Problemas'!$C$9:$G$40,2))</f>
        <v/>
      </c>
      <c r="F17"/>
      <c r="G17"/>
      <c r="H17"/>
      <c r="K17" s="22" t="str">
        <f t="shared" si="0"/>
        <v/>
      </c>
      <c r="L17" s="22" t="str">
        <f t="shared" si="1"/>
        <v/>
      </c>
      <c r="M17" s="22" t="str">
        <f t="shared" si="2"/>
        <v/>
      </c>
      <c r="N17" t="s">
        <v>13</v>
      </c>
      <c r="S17" s="2"/>
    </row>
    <row r="18" spans="1:19" ht="20.25" customHeight="1" x14ac:dyDescent="0.25">
      <c r="A18" s="46"/>
      <c r="B18" s="23">
        <v>10</v>
      </c>
      <c r="C18" s="30" t="str">
        <f t="shared" si="3"/>
        <v/>
      </c>
      <c r="D18" s="31" t="str">
        <f>IFERROR(LARGE('2. Problemas'!$C$9:$C$40,B18),"")</f>
        <v/>
      </c>
      <c r="E18" s="32" t="str">
        <f>IF(D18="","",VLOOKUP(D18,'2. Problemas'!$C$9:$G$40,2))</f>
        <v/>
      </c>
      <c r="F18"/>
      <c r="G18"/>
      <c r="H18"/>
      <c r="K18" s="22" t="str">
        <f t="shared" si="0"/>
        <v/>
      </c>
      <c r="L18" s="22" t="str">
        <f t="shared" si="1"/>
        <v/>
      </c>
      <c r="M18" s="22" t="str">
        <f t="shared" si="2"/>
        <v/>
      </c>
      <c r="N18" t="s">
        <v>14</v>
      </c>
      <c r="S18" s="2"/>
    </row>
    <row r="19" spans="1:19" ht="20.25" customHeight="1" x14ac:dyDescent="0.25">
      <c r="A19" s="47"/>
      <c r="B19" s="23">
        <v>11</v>
      </c>
      <c r="C19" s="30" t="str">
        <f t="shared" si="3"/>
        <v/>
      </c>
      <c r="D19" s="31" t="str">
        <f>IFERROR(LARGE('2. Problemas'!$C$9:$C$40,B19),"")</f>
        <v/>
      </c>
      <c r="E19" s="32" t="str">
        <f>IF(D19="","",VLOOKUP(D19,'2. Problemas'!$C$9:$G$40,2))</f>
        <v/>
      </c>
      <c r="F19"/>
      <c r="G19"/>
      <c r="H19"/>
      <c r="K19" s="22" t="str">
        <f t="shared" si="0"/>
        <v/>
      </c>
      <c r="L19" s="22" t="str">
        <f t="shared" si="1"/>
        <v/>
      </c>
      <c r="M19" s="22" t="str">
        <f t="shared" si="2"/>
        <v/>
      </c>
      <c r="N19" t="s">
        <v>15</v>
      </c>
      <c r="S19" s="2"/>
    </row>
    <row r="20" spans="1:19" ht="20.25" customHeight="1" x14ac:dyDescent="0.25">
      <c r="A20" s="47"/>
      <c r="B20" s="23">
        <v>12</v>
      </c>
      <c r="C20" s="30" t="str">
        <f t="shared" si="3"/>
        <v/>
      </c>
      <c r="D20" s="31" t="str">
        <f>IFERROR(LARGE('2. Problemas'!$C$9:$C$40,B20),"")</f>
        <v/>
      </c>
      <c r="E20" s="32" t="str">
        <f>IF(D20="","",VLOOKUP(D20,'2. Problemas'!$C$9:$G$40,2))</f>
        <v/>
      </c>
      <c r="F20"/>
      <c r="G20"/>
      <c r="H20"/>
      <c r="K20" s="22" t="str">
        <f t="shared" si="0"/>
        <v/>
      </c>
      <c r="L20" s="22" t="str">
        <f t="shared" si="1"/>
        <v/>
      </c>
      <c r="M20" s="22" t="str">
        <f t="shared" si="2"/>
        <v/>
      </c>
      <c r="S20" s="2"/>
    </row>
    <row r="21" spans="1:19" ht="20.25" customHeight="1" x14ac:dyDescent="0.25">
      <c r="A21" s="47"/>
      <c r="B21" s="23">
        <v>13</v>
      </c>
      <c r="C21" s="30" t="str">
        <f t="shared" si="3"/>
        <v/>
      </c>
      <c r="D21" s="31" t="str">
        <f>IFERROR(LARGE('2. Problemas'!$C$9:$C$40,B21),"")</f>
        <v/>
      </c>
      <c r="E21" s="32" t="str">
        <f>IF(D21="","",VLOOKUP(D21,'2. Problemas'!$C$9:$G$40,2))</f>
        <v/>
      </c>
      <c r="F21"/>
      <c r="G21"/>
      <c r="H21"/>
      <c r="K21" s="22" t="str">
        <f t="shared" si="0"/>
        <v/>
      </c>
      <c r="L21" s="22" t="str">
        <f t="shared" si="1"/>
        <v/>
      </c>
      <c r="M21" s="22" t="str">
        <f t="shared" si="2"/>
        <v/>
      </c>
      <c r="N21" t="s">
        <v>18</v>
      </c>
      <c r="S21" s="1"/>
    </row>
    <row r="22" spans="1:19" ht="20.25" customHeight="1" x14ac:dyDescent="0.25">
      <c r="A22" s="47"/>
      <c r="B22" s="23">
        <v>14</v>
      </c>
      <c r="C22" s="30" t="str">
        <f t="shared" si="3"/>
        <v/>
      </c>
      <c r="D22" s="31" t="str">
        <f>IFERROR(LARGE('2. Problemas'!$C$9:$C$40,B22),"")</f>
        <v/>
      </c>
      <c r="E22" s="32" t="str">
        <f>IF(D22="","",VLOOKUP(D22,'2. Problemas'!$C$9:$G$40,2))</f>
        <v/>
      </c>
      <c r="F22"/>
      <c r="G22"/>
      <c r="H22"/>
      <c r="K22" s="22" t="str">
        <f t="shared" si="0"/>
        <v/>
      </c>
      <c r="L22" s="22" t="str">
        <f t="shared" si="1"/>
        <v/>
      </c>
      <c r="M22" s="22" t="str">
        <f t="shared" si="2"/>
        <v/>
      </c>
      <c r="N22" t="s">
        <v>16</v>
      </c>
    </row>
    <row r="23" spans="1:19" ht="20.25" customHeight="1" x14ac:dyDescent="0.25">
      <c r="A23" s="45"/>
      <c r="B23" s="23">
        <v>15</v>
      </c>
      <c r="C23" s="30" t="str">
        <f t="shared" si="3"/>
        <v/>
      </c>
      <c r="D23" s="31" t="str">
        <f>IFERROR(LARGE('2. Problemas'!$C$9:$C$40,B23),"")</f>
        <v/>
      </c>
      <c r="E23" s="32" t="str">
        <f>IF(D23="","",VLOOKUP(D23,'2. Problemas'!$C$9:$G$40,2))</f>
        <v/>
      </c>
      <c r="F23"/>
      <c r="G23"/>
      <c r="H23"/>
      <c r="K23" s="22" t="str">
        <f t="shared" si="0"/>
        <v/>
      </c>
      <c r="L23" s="22" t="str">
        <f t="shared" si="1"/>
        <v/>
      </c>
      <c r="M23" s="22" t="str">
        <f t="shared" si="2"/>
        <v/>
      </c>
      <c r="N23" t="s">
        <v>17</v>
      </c>
    </row>
    <row r="24" spans="1:19" ht="20.25" customHeight="1" x14ac:dyDescent="0.25">
      <c r="A24" s="45"/>
      <c r="B24" s="23">
        <v>16</v>
      </c>
      <c r="C24" s="30" t="str">
        <f t="shared" si="3"/>
        <v/>
      </c>
      <c r="D24" s="31" t="str">
        <f>IFERROR(LARGE('2. Problemas'!$C$9:$C$40,B24),"")</f>
        <v/>
      </c>
      <c r="E24" s="32" t="str">
        <f>IF(D24="","",VLOOKUP(D24,'2. Problemas'!$C$9:$G$40,2))</f>
        <v/>
      </c>
      <c r="F24"/>
      <c r="G24"/>
      <c r="H24"/>
      <c r="K24" s="22" t="str">
        <f t="shared" si="0"/>
        <v/>
      </c>
      <c r="L24" s="22" t="str">
        <f t="shared" si="1"/>
        <v/>
      </c>
      <c r="M24" s="22" t="str">
        <f t="shared" si="2"/>
        <v/>
      </c>
      <c r="N24" t="s">
        <v>19</v>
      </c>
      <c r="S24" s="5"/>
    </row>
    <row r="25" spans="1:19" ht="20.25" customHeight="1" x14ac:dyDescent="0.25">
      <c r="A25" s="45"/>
      <c r="B25" s="23">
        <v>17</v>
      </c>
      <c r="C25" s="30" t="str">
        <f t="shared" si="3"/>
        <v/>
      </c>
      <c r="D25" s="31" t="str">
        <f>IFERROR(LARGE('2. Problemas'!$C$9:$C$40,B25),"")</f>
        <v/>
      </c>
      <c r="E25" s="32" t="str">
        <f>IF(D25="","",VLOOKUP(D25,'2. Problemas'!$C$9:$G$40,2))</f>
        <v/>
      </c>
      <c r="F25"/>
      <c r="G25"/>
      <c r="H25"/>
      <c r="K25" s="22" t="str">
        <f t="shared" si="0"/>
        <v/>
      </c>
      <c r="L25" s="22" t="str">
        <f t="shared" si="1"/>
        <v/>
      </c>
      <c r="M25" s="22" t="str">
        <f t="shared" si="2"/>
        <v/>
      </c>
      <c r="N25" t="s">
        <v>20</v>
      </c>
    </row>
    <row r="26" spans="1:19" ht="20.25" customHeight="1" x14ac:dyDescent="0.25">
      <c r="A26" s="45"/>
      <c r="B26" s="23">
        <v>18</v>
      </c>
      <c r="C26" s="30" t="str">
        <f t="shared" si="3"/>
        <v/>
      </c>
      <c r="D26" s="31" t="str">
        <f>IFERROR(LARGE('2. Problemas'!$C$9:$C$40,B26),"")</f>
        <v/>
      </c>
      <c r="E26" s="32" t="str">
        <f>IF(D26="","",VLOOKUP(D26,'2. Problemas'!$C$9:$G$40,2))</f>
        <v/>
      </c>
      <c r="F26"/>
      <c r="G26"/>
      <c r="H26"/>
      <c r="K26" s="22" t="str">
        <f t="shared" si="0"/>
        <v/>
      </c>
      <c r="L26" s="22" t="str">
        <f t="shared" si="1"/>
        <v/>
      </c>
      <c r="M26" s="22" t="str">
        <f t="shared" si="2"/>
        <v/>
      </c>
    </row>
    <row r="27" spans="1:19" ht="20.25" customHeight="1" x14ac:dyDescent="0.25">
      <c r="B27" s="23">
        <v>19</v>
      </c>
      <c r="C27" s="30" t="str">
        <f t="shared" si="3"/>
        <v/>
      </c>
      <c r="D27" s="31" t="str">
        <f>IFERROR(LARGE('2. Problemas'!$C$9:$C$40,B27),"")</f>
        <v/>
      </c>
      <c r="E27" s="32" t="str">
        <f>IF(D27="","",VLOOKUP(D27,'2. Problemas'!$C$9:$G$40,2))</f>
        <v/>
      </c>
      <c r="F27"/>
      <c r="G27"/>
      <c r="H27"/>
      <c r="K27" s="22" t="str">
        <f t="shared" si="0"/>
        <v/>
      </c>
      <c r="L27" s="22" t="str">
        <f t="shared" si="1"/>
        <v/>
      </c>
      <c r="M27" s="22" t="str">
        <f t="shared" si="2"/>
        <v/>
      </c>
    </row>
    <row r="28" spans="1:19" ht="20.25" customHeight="1" x14ac:dyDescent="0.25">
      <c r="B28" s="23">
        <v>20</v>
      </c>
      <c r="C28" s="30" t="str">
        <f t="shared" si="3"/>
        <v/>
      </c>
      <c r="D28" s="31" t="str">
        <f>IFERROR(LARGE('2. Problemas'!$C$9:$C$40,B28),"")</f>
        <v/>
      </c>
      <c r="E28" s="32" t="str">
        <f>IF(D28="","",VLOOKUP(D28,'2. Problemas'!$C$9:$G$40,2))</f>
        <v/>
      </c>
      <c r="F28"/>
      <c r="G28"/>
      <c r="H28"/>
      <c r="K28" s="22" t="str">
        <f t="shared" si="0"/>
        <v/>
      </c>
      <c r="L28" s="22" t="str">
        <f t="shared" si="1"/>
        <v/>
      </c>
      <c r="M28" s="22" t="str">
        <f t="shared" si="2"/>
        <v/>
      </c>
      <c r="S28" s="5"/>
    </row>
    <row r="29" spans="1:19" ht="20.25" customHeight="1" x14ac:dyDescent="0.25">
      <c r="B29" s="23">
        <v>21</v>
      </c>
      <c r="C29" s="30" t="str">
        <f t="shared" si="3"/>
        <v/>
      </c>
      <c r="D29" s="31" t="str">
        <f>IFERROR(LARGE('2. Problemas'!$C$9:$C$40,B29),"")</f>
        <v/>
      </c>
      <c r="E29" s="32" t="str">
        <f>IF(D29="","",VLOOKUP(D29,'2. Problemas'!$C$9:$G$40,2))</f>
        <v/>
      </c>
      <c r="F29"/>
      <c r="G29"/>
      <c r="H29"/>
      <c r="K29" s="22" t="str">
        <f t="shared" si="0"/>
        <v/>
      </c>
      <c r="L29" s="22" t="str">
        <f t="shared" si="1"/>
        <v/>
      </c>
      <c r="M29" s="22" t="str">
        <f t="shared" si="2"/>
        <v/>
      </c>
    </row>
    <row r="30" spans="1:19" ht="20.25" customHeight="1" x14ac:dyDescent="0.25">
      <c r="B30" s="23">
        <v>22</v>
      </c>
      <c r="C30" s="30" t="str">
        <f t="shared" si="3"/>
        <v/>
      </c>
      <c r="D30" s="31" t="str">
        <f>IFERROR(LARGE('2. Problemas'!$C$9:$C$40,B30),"")</f>
        <v/>
      </c>
      <c r="E30" s="32" t="str">
        <f>IF(D30="","",VLOOKUP(D30,'2. Problemas'!$C$9:$G$40,2))</f>
        <v/>
      </c>
      <c r="F30"/>
      <c r="G30"/>
      <c r="H30"/>
      <c r="K30" s="22" t="str">
        <f t="shared" si="0"/>
        <v/>
      </c>
      <c r="L30" s="22" t="str">
        <f t="shared" si="1"/>
        <v/>
      </c>
      <c r="M30" s="22" t="str">
        <f t="shared" si="2"/>
        <v/>
      </c>
      <c r="S30" s="5"/>
    </row>
    <row r="31" spans="1:19" ht="20.25" customHeight="1" x14ac:dyDescent="0.25">
      <c r="B31" s="23">
        <v>23</v>
      </c>
      <c r="C31" s="30" t="str">
        <f t="shared" si="3"/>
        <v/>
      </c>
      <c r="D31" s="31" t="str">
        <f>IFERROR(LARGE('2. Problemas'!$C$9:$C$40,B31),"")</f>
        <v/>
      </c>
      <c r="E31" s="32" t="str">
        <f>IF(D31="","",VLOOKUP(D31,'2. Problemas'!$C$9:$G$40,2))</f>
        <v/>
      </c>
      <c r="F31"/>
      <c r="G31"/>
      <c r="H31"/>
      <c r="K31" s="22" t="str">
        <f t="shared" si="0"/>
        <v/>
      </c>
      <c r="L31" s="22" t="str">
        <f t="shared" si="1"/>
        <v/>
      </c>
      <c r="M31" s="22" t="str">
        <f t="shared" si="2"/>
        <v/>
      </c>
      <c r="S31" s="5"/>
    </row>
    <row r="32" spans="1:19" ht="20.25" customHeight="1" x14ac:dyDescent="0.25">
      <c r="B32" s="23">
        <v>24</v>
      </c>
      <c r="C32" s="30" t="str">
        <f t="shared" si="3"/>
        <v/>
      </c>
      <c r="D32" s="31" t="str">
        <f>IFERROR(LARGE('2. Problemas'!$C$9:$C$40,B32),"")</f>
        <v/>
      </c>
      <c r="E32" s="32" t="str">
        <f>IF(D32="","",VLOOKUP(D32,'2. Problemas'!$C$9:$G$40,2))</f>
        <v/>
      </c>
      <c r="F32"/>
      <c r="G32"/>
      <c r="H32"/>
      <c r="K32" s="22" t="str">
        <f t="shared" si="0"/>
        <v/>
      </c>
      <c r="L32" s="22" t="str">
        <f t="shared" si="1"/>
        <v/>
      </c>
      <c r="M32" s="22" t="str">
        <f t="shared" si="2"/>
        <v/>
      </c>
      <c r="S32" s="5"/>
    </row>
    <row r="33" spans="2:23" ht="20.25" customHeight="1" x14ac:dyDescent="0.25">
      <c r="B33" s="23">
        <v>25</v>
      </c>
      <c r="C33" s="30" t="str">
        <f t="shared" si="3"/>
        <v/>
      </c>
      <c r="D33" s="31" t="str">
        <f>IFERROR(LARGE('2. Problemas'!$C$9:$C$40,B33),"")</f>
        <v/>
      </c>
      <c r="E33" s="32" t="str">
        <f>IF(D33="","",VLOOKUP(D33,'2. Problemas'!$C$9:$G$40,2))</f>
        <v/>
      </c>
      <c r="F33"/>
      <c r="G33"/>
      <c r="H33"/>
      <c r="K33" s="22" t="str">
        <f t="shared" si="0"/>
        <v/>
      </c>
      <c r="L33" s="22" t="str">
        <f t="shared" si="1"/>
        <v/>
      </c>
      <c r="M33" s="22" t="str">
        <f t="shared" si="2"/>
        <v/>
      </c>
      <c r="S33" s="5"/>
    </row>
    <row r="34" spans="2:23" ht="20.25" customHeight="1" x14ac:dyDescent="0.25">
      <c r="B34" s="23">
        <v>26</v>
      </c>
      <c r="C34" s="30" t="str">
        <f t="shared" si="3"/>
        <v/>
      </c>
      <c r="D34" s="31" t="str">
        <f>IFERROR(LARGE('2. Problemas'!$C$9:$C$40,B34),"")</f>
        <v/>
      </c>
      <c r="E34" s="32" t="str">
        <f>IF(D34="","",VLOOKUP(D34,'2. Problemas'!$C$9:$G$40,2))</f>
        <v/>
      </c>
      <c r="F34"/>
      <c r="G34"/>
      <c r="H34"/>
      <c r="K34" s="22" t="str">
        <f t="shared" si="0"/>
        <v/>
      </c>
      <c r="L34" s="22" t="str">
        <f t="shared" si="1"/>
        <v/>
      </c>
      <c r="M34" s="22" t="str">
        <f t="shared" si="2"/>
        <v/>
      </c>
    </row>
    <row r="35" spans="2:23" ht="20.25" customHeight="1" x14ac:dyDescent="0.25">
      <c r="B35" s="23">
        <v>27</v>
      </c>
      <c r="C35" s="30" t="str">
        <f t="shared" si="3"/>
        <v/>
      </c>
      <c r="D35" s="31" t="str">
        <f>IFERROR(LARGE('2. Problemas'!$C$9:$C$40,B35),"")</f>
        <v/>
      </c>
      <c r="E35" s="32" t="str">
        <f>IF(D35="","",VLOOKUP(D35,'2. Problemas'!$C$9:$G$40,2))</f>
        <v/>
      </c>
      <c r="F35"/>
      <c r="G35"/>
      <c r="H35"/>
      <c r="K35" s="22" t="str">
        <f t="shared" si="0"/>
        <v/>
      </c>
      <c r="L35" s="22" t="str">
        <f t="shared" si="1"/>
        <v/>
      </c>
      <c r="M35" s="22" t="str">
        <f t="shared" si="2"/>
        <v/>
      </c>
    </row>
    <row r="36" spans="2:23" ht="20.25" customHeight="1" x14ac:dyDescent="0.25">
      <c r="B36" s="23">
        <v>28</v>
      </c>
      <c r="C36" s="30" t="str">
        <f t="shared" si="3"/>
        <v/>
      </c>
      <c r="D36" s="31" t="str">
        <f>IFERROR(LARGE('2. Problemas'!$C$9:$C$40,B36),"")</f>
        <v/>
      </c>
      <c r="E36" s="32" t="str">
        <f>IF(D36="","",VLOOKUP(D36,'2. Problemas'!$C$9:$G$40,2))</f>
        <v/>
      </c>
      <c r="F36"/>
      <c r="G36"/>
      <c r="H36"/>
      <c r="K36" s="22" t="str">
        <f t="shared" si="0"/>
        <v/>
      </c>
      <c r="L36" s="22" t="str">
        <f t="shared" si="1"/>
        <v/>
      </c>
      <c r="M36" s="22" t="str">
        <f t="shared" si="2"/>
        <v/>
      </c>
    </row>
    <row r="37" spans="2:23" ht="20.25" customHeight="1" x14ac:dyDescent="0.25">
      <c r="B37" s="23">
        <v>29</v>
      </c>
      <c r="C37" s="30" t="str">
        <f t="shared" si="3"/>
        <v/>
      </c>
      <c r="D37" s="31" t="str">
        <f>IFERROR(LARGE('2. Problemas'!$C$9:$C$40,B37),"")</f>
        <v/>
      </c>
      <c r="E37" s="32" t="str">
        <f>IF(D37="","",VLOOKUP(D37,'2. Problemas'!$C$9:$G$40,2))</f>
        <v/>
      </c>
      <c r="F37"/>
      <c r="G37"/>
      <c r="H37"/>
      <c r="K37" s="22" t="str">
        <f t="shared" si="0"/>
        <v/>
      </c>
      <c r="L37" s="22" t="str">
        <f t="shared" si="1"/>
        <v/>
      </c>
      <c r="M37" s="22" t="str">
        <f t="shared" si="2"/>
        <v/>
      </c>
    </row>
    <row r="38" spans="2:23" ht="20.25" customHeight="1" x14ac:dyDescent="0.25">
      <c r="B38" s="23">
        <v>30</v>
      </c>
      <c r="C38" s="30" t="str">
        <f t="shared" si="3"/>
        <v/>
      </c>
      <c r="D38" s="31" t="str">
        <f>IFERROR(LARGE('2. Problemas'!$C$9:$C$40,B38),"")</f>
        <v/>
      </c>
      <c r="E38" s="32" t="str">
        <f>IF(D38="","",VLOOKUP(D38,'2. Problemas'!$C$9:$G$40,2))</f>
        <v/>
      </c>
      <c r="F38"/>
      <c r="G38"/>
      <c r="H38"/>
      <c r="K38" s="22" t="str">
        <f t="shared" si="0"/>
        <v/>
      </c>
      <c r="L38" s="22" t="str">
        <f t="shared" si="1"/>
        <v/>
      </c>
      <c r="M38" s="22" t="str">
        <f t="shared" si="2"/>
        <v/>
      </c>
    </row>
    <row r="39" spans="2:23" ht="20.25" customHeight="1" x14ac:dyDescent="0.25">
      <c r="B39" s="23">
        <v>31</v>
      </c>
      <c r="C39" s="30" t="str">
        <f t="shared" si="3"/>
        <v/>
      </c>
      <c r="D39" s="31" t="str">
        <f>IFERROR(LARGE('2. Problemas'!$C$9:$C$40,B39),"")</f>
        <v/>
      </c>
      <c r="E39" s="32" t="str">
        <f>IF(D39="","",VLOOKUP(D39,'2. Problemas'!$C$9:$G$40,2))</f>
        <v/>
      </c>
      <c r="F39"/>
      <c r="G39"/>
      <c r="H39"/>
      <c r="K39" s="22" t="str">
        <f t="shared" si="0"/>
        <v/>
      </c>
      <c r="L39" s="22" t="str">
        <f t="shared" si="1"/>
        <v/>
      </c>
      <c r="M39" s="22" t="str">
        <f t="shared" si="2"/>
        <v/>
      </c>
    </row>
    <row r="40" spans="2:23" ht="20.25" customHeight="1" x14ac:dyDescent="0.25">
      <c r="B40" s="23">
        <v>32</v>
      </c>
      <c r="C40" s="33" t="str">
        <f t="shared" si="3"/>
        <v/>
      </c>
      <c r="D40" s="34" t="str">
        <f>IFERROR(LARGE('2. Problemas'!$C$9:$C$40,B40),"")</f>
        <v/>
      </c>
      <c r="E40" s="35" t="str">
        <f>IF(D40="","",VLOOKUP(D40,'2. Problemas'!$C$9:$G$40,2))</f>
        <v/>
      </c>
      <c r="F40"/>
      <c r="G40"/>
      <c r="H40"/>
      <c r="K40" s="22" t="str">
        <f t="shared" si="0"/>
        <v/>
      </c>
      <c r="L40" s="22" t="str">
        <f t="shared" si="1"/>
        <v/>
      </c>
      <c r="M40" s="22" t="str">
        <f t="shared" si="2"/>
        <v/>
      </c>
    </row>
    <row r="41" spans="2:23" ht="20.25" customHeight="1" x14ac:dyDescent="0.25">
      <c r="C41" s="21"/>
      <c r="D41" s="21"/>
      <c r="E41" s="21"/>
      <c r="F41" s="21"/>
      <c r="G41" s="21"/>
      <c r="H41" s="21"/>
    </row>
    <row r="42" spans="2:23" ht="20.25" customHeight="1" x14ac:dyDescent="0.25">
      <c r="C42" s="21"/>
      <c r="D42" s="21"/>
      <c r="E42" s="21"/>
      <c r="F42" s="21"/>
      <c r="G42" s="21"/>
      <c r="H42" s="21"/>
      <c r="W42" s="3"/>
    </row>
    <row r="43" spans="2:23" ht="14.45" customHeight="1" x14ac:dyDescent="0.25">
      <c r="C43" s="21"/>
      <c r="D43" s="21"/>
      <c r="E43" s="21"/>
      <c r="F43" s="21"/>
      <c r="G43" s="21"/>
      <c r="H43" s="21"/>
      <c r="S43" s="1"/>
      <c r="V43" s="3"/>
    </row>
    <row r="44" spans="2:23" ht="14.45" customHeight="1" x14ac:dyDescent="0.25">
      <c r="C44" s="21"/>
      <c r="D44" s="21"/>
      <c r="E44" s="21"/>
      <c r="F44" s="21"/>
      <c r="G44" s="21"/>
      <c r="H44" s="21"/>
      <c r="S44" s="1"/>
      <c r="V44" s="3"/>
    </row>
    <row r="45" spans="2:23" ht="14.45" customHeight="1" x14ac:dyDescent="0.25">
      <c r="C45" s="21"/>
      <c r="D45" s="21"/>
      <c r="E45" s="21"/>
      <c r="F45" s="21"/>
      <c r="G45" s="21"/>
      <c r="H45" s="21"/>
      <c r="S45" s="1"/>
      <c r="V45" s="3"/>
    </row>
    <row r="46" spans="2:23" ht="14.45" customHeight="1" x14ac:dyDescent="0.25">
      <c r="C46" s="21"/>
      <c r="D46" s="21"/>
      <c r="E46" s="21"/>
      <c r="F46" s="21"/>
      <c r="G46" s="21"/>
      <c r="H46" s="21"/>
      <c r="S46" s="1"/>
      <c r="V46" s="3"/>
    </row>
    <row r="47" spans="2:23" ht="14.45" customHeight="1" x14ac:dyDescent="0.25">
      <c r="C47" s="21"/>
      <c r="D47" s="21"/>
      <c r="E47" s="21"/>
      <c r="F47" s="21"/>
      <c r="G47" s="21"/>
      <c r="H47" s="21"/>
      <c r="S47" s="1"/>
      <c r="V47" s="3"/>
    </row>
    <row r="48" spans="2:23" ht="15" customHeight="1" x14ac:dyDescent="0.25">
      <c r="C48" s="21"/>
      <c r="D48" s="21"/>
      <c r="E48" s="21"/>
      <c r="F48" s="21"/>
      <c r="G48" s="21"/>
      <c r="H48" s="21"/>
      <c r="S48" s="3"/>
      <c r="T48" s="3"/>
      <c r="U48" s="3"/>
    </row>
    <row r="49" spans="19:23" ht="15" customHeight="1" x14ac:dyDescent="0.25">
      <c r="W49" s="3"/>
    </row>
    <row r="50" spans="19:23" ht="14.45" customHeight="1" x14ac:dyDescent="0.25">
      <c r="W50" s="3"/>
    </row>
    <row r="51" spans="19:23" ht="14.45" customHeight="1" x14ac:dyDescent="0.25">
      <c r="W51" s="3"/>
    </row>
    <row r="52" spans="19:23" ht="14.45" customHeight="1" x14ac:dyDescent="0.25">
      <c r="W52" s="3"/>
    </row>
    <row r="53" spans="19:23" x14ac:dyDescent="0.25">
      <c r="V53" s="3"/>
    </row>
    <row r="54" spans="19:23" x14ac:dyDescent="0.25">
      <c r="V54" s="3"/>
    </row>
    <row r="55" spans="19:23" x14ac:dyDescent="0.25">
      <c r="V55" s="3"/>
    </row>
    <row r="56" spans="19:23" x14ac:dyDescent="0.25">
      <c r="V56" s="3"/>
    </row>
    <row r="57" spans="19:23" x14ac:dyDescent="0.25">
      <c r="S57" s="3"/>
      <c r="T57" s="3"/>
      <c r="U57" s="3"/>
    </row>
    <row r="58" spans="19:23" x14ac:dyDescent="0.25">
      <c r="W58" s="3"/>
    </row>
    <row r="59" spans="19:23" x14ac:dyDescent="0.25">
      <c r="V59" s="3"/>
    </row>
    <row r="60" spans="19:23" x14ac:dyDescent="0.25">
      <c r="S60" s="3"/>
      <c r="T60" s="3"/>
      <c r="U60" s="3"/>
    </row>
    <row r="61" spans="19:23" x14ac:dyDescent="0.25">
      <c r="W61" s="3"/>
    </row>
    <row r="62" spans="19:23" x14ac:dyDescent="0.25">
      <c r="V62" s="3"/>
    </row>
    <row r="63" spans="19:23" x14ac:dyDescent="0.25">
      <c r="S63" s="4"/>
      <c r="T63" s="3"/>
      <c r="U63" s="3"/>
    </row>
    <row r="64" spans="19:23" x14ac:dyDescent="0.25">
      <c r="S64" s="2"/>
    </row>
    <row r="65" spans="5:7" x14ac:dyDescent="0.25">
      <c r="F65" s="16"/>
      <c r="G65" s="17"/>
    </row>
    <row r="66" spans="5:7" x14ac:dyDescent="0.25">
      <c r="E66" s="18"/>
      <c r="F66" s="17"/>
    </row>
    <row r="67" spans="5:7" x14ac:dyDescent="0.25">
      <c r="E67" s="18"/>
      <c r="F67" s="17"/>
    </row>
    <row r="68" spans="5:7" x14ac:dyDescent="0.25">
      <c r="E68" s="18"/>
      <c r="F68" s="17"/>
    </row>
    <row r="69" spans="5:7" x14ac:dyDescent="0.25">
      <c r="E69" s="18"/>
      <c r="F69" s="17"/>
    </row>
    <row r="70" spans="5:7" x14ac:dyDescent="0.25">
      <c r="E70" s="18"/>
      <c r="F70" s="17"/>
    </row>
    <row r="72" spans="5:7" x14ac:dyDescent="0.25">
      <c r="F72" s="17"/>
    </row>
  </sheetData>
  <mergeCells count="12">
    <mergeCell ref="C1:J5"/>
    <mergeCell ref="A7:A8"/>
    <mergeCell ref="C7:C8"/>
    <mergeCell ref="D7:D8"/>
    <mergeCell ref="E7:E8"/>
    <mergeCell ref="A25:A26"/>
    <mergeCell ref="A13:A14"/>
    <mergeCell ref="A15:A16"/>
    <mergeCell ref="A17:A18"/>
    <mergeCell ref="A19:A20"/>
    <mergeCell ref="A21:A22"/>
    <mergeCell ref="A23:A24"/>
  </mergeCells>
  <conditionalFormatting sqref="D9">
    <cfRule type="containsText" dxfId="11" priority="13" operator="containsText" text="Extremamente grave">
      <formula>NOT(ISERROR(SEARCH("Extremamente grave",D9)))</formula>
    </cfRule>
    <cfRule type="containsText" dxfId="10" priority="14" operator="containsText" text="Muito grave">
      <formula>NOT(ISERROR(SEARCH("Muito grave",D9)))</formula>
    </cfRule>
    <cfRule type="containsText" dxfId="9" priority="15" operator="containsText" text="Grave">
      <formula>NOT(ISERROR(SEARCH("Grave",D9)))</formula>
    </cfRule>
    <cfRule type="containsText" dxfId="8" priority="16" operator="containsText" text="Pouca gravidade">
      <formula>NOT(ISERROR(SEARCH("Pouca gravidade",D9)))</formula>
    </cfRule>
  </conditionalFormatting>
  <conditionalFormatting sqref="D10:D40">
    <cfRule type="containsText" dxfId="7" priority="9" operator="containsText" text="Extremamente grave">
      <formula>NOT(ISERROR(SEARCH("Extremamente grave",D10)))</formula>
    </cfRule>
    <cfRule type="containsText" dxfId="6" priority="10" operator="containsText" text="Muito grave">
      <formula>NOT(ISERROR(SEARCH("Muito grave",D10)))</formula>
    </cfRule>
    <cfRule type="containsText" dxfId="5" priority="11" operator="containsText" text="Grave">
      <formula>NOT(ISERROR(SEARCH("Grave",D10)))</formula>
    </cfRule>
    <cfRule type="containsText" dxfId="4" priority="12" operator="containsText" text="Pouca gravidade">
      <formula>NOT(ISERROR(SEARCH("Pouca gravidade",D10)))</formula>
    </cfRule>
  </conditionalFormatting>
  <conditionalFormatting sqref="E9:E40">
    <cfRule type="containsText" dxfId="3" priority="5" operator="containsText" text="Imediatamente">
      <formula>NOT(ISERROR(SEARCH("Imediatamente",E9)))</formula>
    </cfRule>
    <cfRule type="containsText" dxfId="2" priority="6" operator="containsText" text="Curto prazo">
      <formula>NOT(ISERROR(SEARCH("Curto prazo",E9)))</formula>
    </cfRule>
    <cfRule type="containsText" dxfId="1" priority="7" operator="containsText" text="Médio prazo">
      <formula>NOT(ISERROR(SEARCH("Médio prazo",E9)))</formula>
    </cfRule>
    <cfRule type="containsText" dxfId="0" priority="8" operator="containsText" text="Longo prazo">
      <formula>NOT(ISERROR(SEARCH("Longo prazo",E9)))</formula>
    </cfRule>
  </conditionalFormatting>
  <hyperlinks>
    <hyperlink ref="A10" location="'2. Problemas'!A1" display="2. Problemas"/>
    <hyperlink ref="A9" location="'1. Instruções'!A1" display="1. Instruções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174BF8F48870D49A65DA3EA907CAB8D" ma:contentTypeVersion="15" ma:contentTypeDescription="Crie um novo documento." ma:contentTypeScope="" ma:versionID="16b8cf75427b99ea2715904b2468d5fd">
  <xsd:schema xmlns:xsd="http://www.w3.org/2001/XMLSchema" xmlns:xs="http://www.w3.org/2001/XMLSchema" xmlns:p="http://schemas.microsoft.com/office/2006/metadata/properties" xmlns:ns2="cbb4d7a3-5c07-4bf5-b85d-bc2391539529" xmlns:ns3="e91dcd25-9560-4825-b4a9-3ba743c0900f" targetNamespace="http://schemas.microsoft.com/office/2006/metadata/properties" ma:root="true" ma:fieldsID="2ebbcff35b93358a01f36b805339c662" ns2:_="" ns3:_="">
    <xsd:import namespace="cbb4d7a3-5c07-4bf5-b85d-bc2391539529"/>
    <xsd:import namespace="e91dcd25-9560-4825-b4a9-3ba743c090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b4d7a3-5c07-4bf5-b85d-bc239153952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Marcações de imagem" ma:readOnly="false" ma:fieldId="{5cf76f15-5ced-4ddc-b409-7134ff3c332f}" ma:taxonomyMulti="true" ma:sspId="0d179948-fc24-43cd-a33f-e8da3cc9aed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dcd25-9560-4825-b4a9-3ba743c0900f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af2c0bf4-c5c5-43da-b4ca-2dde7dcde375}" ma:internalName="TaxCatchAll" ma:showField="CatchAllData" ma:web="e91dcd25-9560-4825-b4a9-3ba743c0900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6CD8696-356B-4F37-921A-1715E5816807}"/>
</file>

<file path=customXml/itemProps2.xml><?xml version="1.0" encoding="utf-8"?>
<ds:datastoreItem xmlns:ds="http://schemas.openxmlformats.org/officeDocument/2006/customXml" ds:itemID="{FAF8B9FF-20F5-40A3-A35E-FA5BB8E60D7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1. Instruções</vt:lpstr>
      <vt:lpstr>2. Problemas</vt:lpstr>
      <vt:lpstr>3. Ranking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NOTEBOOK</dc:creator>
  <cp:lastModifiedBy>Lucas Delgado</cp:lastModifiedBy>
  <dcterms:created xsi:type="dcterms:W3CDTF">2014-07-21T13:24:11Z</dcterms:created>
  <dcterms:modified xsi:type="dcterms:W3CDTF">2017-10-23T13:52:47Z</dcterms:modified>
</cp:coreProperties>
</file>
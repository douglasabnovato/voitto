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charts/chart2.xml" ContentType="application/vnd.openxmlformats-officedocument.drawingml.chart+xml"/>
  <Override PartName="/xl/drawings/drawing9.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worksheets/sheet9.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EstaPasta_de_trabalho" defaultThemeVersion="124226"/>
  <bookViews>
    <workbookView xWindow="0" yWindow="210" windowWidth="19155" windowHeight="7905" tabRatio="685"/>
  </bookViews>
  <sheets>
    <sheet name="Início" sheetId="1" r:id="rId1"/>
    <sheet name="Cadastro" sheetId="8" r:id="rId2"/>
    <sheet name="Perguntas e Respostas" sheetId="14" r:id="rId3"/>
    <sheet name="Estratégia" sheetId="13" r:id="rId4"/>
    <sheet name="Finanças" sheetId="15" r:id="rId5"/>
    <sheet name="Marketing" sheetId="16" r:id="rId6"/>
    <sheet name="Operações" sheetId="17" r:id="rId7"/>
    <sheet name="Recursos Humanos" sheetId="18" r:id="rId8"/>
    <sheet name="Panorama" sheetId="12" r:id="rId9"/>
  </sheets>
  <calcPr calcId="145621" concurrentCalc="0"/>
</workbook>
</file>

<file path=xl/calcChain.xml><?xml version="1.0" encoding="utf-8"?>
<calcChain xmlns="http://schemas.openxmlformats.org/spreadsheetml/2006/main">
  <c r="F9" i="12" l="1"/>
  <c r="F8" i="12"/>
  <c r="D5" i="15"/>
  <c r="D6" i="15"/>
  <c r="D7" i="15"/>
  <c r="D4" i="15"/>
  <c r="D5" i="13"/>
  <c r="D6" i="13"/>
  <c r="D7" i="13"/>
  <c r="D4" i="13"/>
  <c r="D7" i="18"/>
  <c r="D6" i="18"/>
  <c r="D5" i="18"/>
  <c r="D4" i="18"/>
  <c r="D7" i="17"/>
  <c r="D6" i="17"/>
  <c r="D5" i="17"/>
  <c r="D4" i="17"/>
  <c r="D7" i="16"/>
  <c r="D6" i="16"/>
  <c r="D5" i="16"/>
  <c r="D4" i="16"/>
  <c r="E4" i="13"/>
  <c r="E5" i="13"/>
  <c r="E6" i="13"/>
  <c r="E7" i="13"/>
  <c r="E8" i="13"/>
  <c r="C4" i="8"/>
  <c r="E4" i="15"/>
  <c r="E5" i="15"/>
  <c r="E6" i="15"/>
  <c r="E7" i="15"/>
  <c r="E8" i="15"/>
  <c r="C5" i="8"/>
  <c r="E6" i="16"/>
  <c r="E4" i="16"/>
  <c r="E5" i="16"/>
  <c r="E7" i="16"/>
  <c r="E8" i="16"/>
  <c r="C6" i="8"/>
  <c r="E6" i="17"/>
  <c r="E4" i="17"/>
  <c r="E5" i="17"/>
  <c r="E7" i="17"/>
  <c r="E8" i="17"/>
  <c r="C7" i="8"/>
  <c r="E4" i="18"/>
  <c r="E5" i="18"/>
  <c r="E6" i="18"/>
  <c r="E7" i="18"/>
  <c r="E8" i="18"/>
  <c r="C8" i="8"/>
  <c r="C9" i="8"/>
  <c r="I4" i="12"/>
  <c r="E8" i="12"/>
  <c r="E9" i="12"/>
  <c r="C10" i="8"/>
  <c r="L3" i="12"/>
  <c r="B5" i="18"/>
  <c r="B6" i="18"/>
  <c r="B7" i="18"/>
  <c r="B4" i="18"/>
  <c r="B5" i="16"/>
  <c r="B6" i="16"/>
  <c r="B7" i="16"/>
  <c r="B4" i="16"/>
  <c r="B5" i="17"/>
  <c r="B6" i="17"/>
  <c r="B7" i="17"/>
  <c r="B4" i="17"/>
  <c r="B5" i="15"/>
  <c r="B6" i="15"/>
  <c r="B7" i="15"/>
  <c r="B4" i="15"/>
  <c r="B5" i="13"/>
  <c r="B6" i="13"/>
  <c r="B7" i="13"/>
  <c r="B4" i="13"/>
</calcChain>
</file>

<file path=xl/sharedStrings.xml><?xml version="1.0" encoding="utf-8"?>
<sst xmlns="http://schemas.openxmlformats.org/spreadsheetml/2006/main" count="342" uniqueCount="240">
  <si>
    <t>PERGUNTA</t>
  </si>
  <si>
    <t>RESPOSTA 1</t>
  </si>
  <si>
    <t>RESPOSTA 2</t>
  </si>
  <si>
    <t>RESPOSTA 3</t>
  </si>
  <si>
    <t>RESPOSTA 4</t>
  </si>
  <si>
    <t xml:space="preserve">RESPOSTA </t>
  </si>
  <si>
    <t>SUGESTÃO</t>
  </si>
  <si>
    <t>FINANÇAS</t>
  </si>
  <si>
    <t>SUGESTÃO 1</t>
  </si>
  <si>
    <t>SUGESTÃO 2</t>
  </si>
  <si>
    <t>SUGESTÃO 3</t>
  </si>
  <si>
    <t>SUGESTÃO 4</t>
  </si>
  <si>
    <t xml:space="preserve">Defina qual será o diferencial da sua empresa frente aos concorrentes. </t>
  </si>
  <si>
    <t>Parabéns!! Você já possui o nível máximo nesse quesito!</t>
  </si>
  <si>
    <t>A empresa não realiza o seu planejamento estratégico.</t>
  </si>
  <si>
    <t xml:space="preserve">Realize o seu planejamento estratégico com participação dos colaboradores de diferentes níveis hierárquicos. </t>
  </si>
  <si>
    <t>A empresa utiliza métodos de análise de informações para formular suas estratégias?</t>
  </si>
  <si>
    <t>A empresa não analisa informações para formular estratégias.</t>
  </si>
  <si>
    <t>A empresa analisa ambientes interno e externo para apoiar à formulação estratégica.</t>
  </si>
  <si>
    <t>A empresa analisa todos os fatores que interferem na sua estratégia colaborativamente.</t>
  </si>
  <si>
    <t xml:space="preserve">Envolva os colaboradores na elaboração das análises interna e externa. </t>
  </si>
  <si>
    <t>A empresa possui iniciativas com clientes e fornecedores.</t>
  </si>
  <si>
    <t>ESTRATÉGIA</t>
  </si>
  <si>
    <t>A empresa não possue negócio definido ou compreendido por toda a empresa.</t>
  </si>
  <si>
    <t>Nem todas as diretrizes estão definidas. Ex: a empresa sabe dsua missão, mas não o seu público alvo.</t>
  </si>
  <si>
    <t>A empresa ainda não tem clareza sobre o seu diferencial de valor.</t>
  </si>
  <si>
    <t xml:space="preserve">Defina os pontos faltantes quanto às diretrizes. Ex: Defina quem é o público para o qual a empresa prestará serviços ou venderá seus produtos. </t>
  </si>
  <si>
    <t xml:space="preserve">Elabore o modelo de negócios da empresa, definindo com clarezas suas diretrizes.  Sugere-se a utilização do modelo canvas. </t>
  </si>
  <si>
    <t>De que modo a empresa realiza seu planejamento estratégico?</t>
  </si>
  <si>
    <t>A empresa realiza seu Planejamento Estratégico de forma "prática", sem  algum processo formal.</t>
  </si>
  <si>
    <t xml:space="preserve">A empresa tem a realização do seu Planejamento Estratégico como um processo formal e periódico. </t>
  </si>
  <si>
    <t xml:space="preserve">A empresa realiza seu Planejamento Estratégico de modo colaborato e periódico. </t>
  </si>
  <si>
    <t xml:space="preserve">Realize uma reunião com os cargos de lideranças (ou principais membros da equipe) com finalidade de  definir os principais pontos da empresa: missão, valores, visão, como alcançar  essa visão, como demais.. </t>
  </si>
  <si>
    <t xml:space="preserve">Realize o seu planejamento estratégico formalmente e com periodicidade definida. </t>
  </si>
  <si>
    <t>A empresa analisa as informações de modo informal, empiricamente.</t>
  </si>
  <si>
    <t>Inclua uma análise para a formulação estratégia. . Além disso, você deve buscar dados registrados em pesquisas e análises de mercado, isso ajudará a subsidiar suas decisões com informações.</t>
  </si>
  <si>
    <t>Liste e analise todos os pontos que envolvem seu negócio, definindo o que necessitam de atenção para serem minimizados/eliminados, e os quais se destacam como diferenciais positivos e que devem ser potencializados.</t>
  </si>
  <si>
    <t>A empresa não possui iniciativas de responsabilidade social.</t>
  </si>
  <si>
    <t>A empresa  tem missão que agrega valor aos seus públicos e preocupa-se com meio ambiente, além de incentivar seus fornecedores e clientes.</t>
  </si>
  <si>
    <t>Procure fazer mais pelo meio ambiente e pela sociedade, além de benefícios para o mesmo; melhora a imagem da empresa perante seus stekholders.</t>
  </si>
  <si>
    <t>Crie uma política interna de proteção aos clientes e consumidores. Faz parte de suas atribuições promover ações que melhorem a credibilidade, a eficiência e a segurança dos produtos e serviços.</t>
  </si>
  <si>
    <t xml:space="preserve"> Invista em ações próprias. A relação que uma empresa tem com sua comunidade de entorno é um dos principais exemplos dos valores com os quais está comprometida. </t>
  </si>
  <si>
    <t>A empresa realiza a gestão do seu fluxo de caixa?</t>
  </si>
  <si>
    <t>A empresa não possui controle do seu saldo bancário.</t>
  </si>
  <si>
    <t>A empresa controla seu contas a pagar,  a receber, acompanha saldos bancários e faturamento.</t>
  </si>
  <si>
    <t>A empresa possui um fluxo de caixa.</t>
  </si>
  <si>
    <t>A empresa possui fluxo de caixa capaz de calcular indicadores financeiros com projeções futuras.</t>
  </si>
  <si>
    <t xml:space="preserve">Controle o saldo bancário, contas a pagar, contas a receber e faturamento. </t>
  </si>
  <si>
    <t>Realize a soma de todas as entradas e subtraia as saídas para gerar o fluxo de caixa mensal da empresa.</t>
  </si>
  <si>
    <t xml:space="preserve">Realize projeções futuras do fluxo de caixa para antecipar-se a possíveis variações. </t>
  </si>
  <si>
    <t>A empresa possui planejamento e controle orçamentário?</t>
  </si>
  <si>
    <t>A empresa não possui qualquer planejamento ou controle orçamentário.</t>
  </si>
  <si>
    <t>A empresa  planeja o orçamento ao início do ano nos e não o revisa ou não o segue durante o ano.</t>
  </si>
  <si>
    <t>A empresa planeja o orçamento e o segue ao longo do ano.</t>
  </si>
  <si>
    <t>A empresa usa o plano orçamentario como meio de reduzir gastos e aumentar a lucro.</t>
  </si>
  <si>
    <t>Realize um planejamento orçamentário no inicio de cada ano.</t>
  </si>
  <si>
    <t>Analise detalhadamente o plano orçamentário para conferir a boa aplicação do capital e determinar metas de redução de custos para aumento da lucratividade.</t>
  </si>
  <si>
    <t xml:space="preserve">Analise o planejamento orçamentário como método para identificar melhorias. </t>
  </si>
  <si>
    <t>A empresa possui uma separação entre o que é dela e o que é do proprietário?</t>
  </si>
  <si>
    <t>As finanças da empresa e a do proprietário são uma só.</t>
  </si>
  <si>
    <t>Existe uma separação básica, mas as regras não são claras para todos.</t>
  </si>
  <si>
    <t>Existem regras claras de separação, mas  benefícios/contas são pagos pela empresa (ex: moradia).</t>
  </si>
  <si>
    <t>Finanças separadas, há pró-labore, divisão controlada do lucro, sem benefício ao pagar contas.</t>
  </si>
  <si>
    <t>Defina uma valor fixo para a retirada mensal dos sócios. A separação deve ser capaz de dizer qual o valor gasto mensalmente pelo proprietário com suas despesas individuais. Esse tipo de separação permite uma melhor visualização dos resultados do negócio e um planejamento para investimentos.</t>
  </si>
  <si>
    <t xml:space="preserve">Defina regras que orientem a separação das finanças pessoais das finanças da empresa. Para tanto deverá ser determinado o pró-labore dos sócios/proprietários para que os mesmos paguem todos os seus gastos por conta própria, eliminando retiradas variáveis.  </t>
  </si>
  <si>
    <t>Separe completamente as finanças, defina pró-labore e divisão controlada dos lucros e proiba qualquer benefício exclusivo em relação ao pagamento de contas.</t>
  </si>
  <si>
    <t>A empresa possui investimentos financeiros e capital de reserva?</t>
  </si>
  <si>
    <t>A empresa não possui reservas ou quaisquer investimentos financeiros.</t>
  </si>
  <si>
    <t>A empresa possui reservas em caixa - não aplicadas.</t>
  </si>
  <si>
    <t>A empresa possui reservas e as aplica para gerar renda financeira.</t>
  </si>
  <si>
    <t>A empresa possui reservas aplicadas com valores superiores a 6 meses de custos fixos.</t>
  </si>
  <si>
    <t>Aumente o nível de capital em caixa como medida de segurança e mobilidade.</t>
  </si>
  <si>
    <t>Aumente as reservas e aplique-as para gerar renda financeira.</t>
  </si>
  <si>
    <t xml:space="preserve">Crie reservas com valores que suportam no mínimo 6 meses de custos fixos. </t>
  </si>
  <si>
    <t>A empresa compreende todos os custos envolvidos no seu negócio?</t>
  </si>
  <si>
    <t>A empresa não se preocupa com seus custos, apenas com o resultado no final do mês.</t>
  </si>
  <si>
    <t>A empresa conhece o custo total por mês, mas não faz  classificação ou análise da procedência.</t>
  </si>
  <si>
    <t>A empresa faz o rateamento de seus custos, mas não possui um processo de analise dos mesmos.</t>
  </si>
  <si>
    <t xml:space="preserve">A empresa possui um sistema sólido e claro de classificação, análise e rateio de custos. </t>
  </si>
  <si>
    <t>Analise sua estrutura de custos.</t>
  </si>
  <si>
    <t>Classifique os custos para poder realizar uma análise mais profunda dos mesmos.</t>
  </si>
  <si>
    <t xml:space="preserve">Crie um sistema de análise periódica dos custos, envolvendo indicadores financeiros. </t>
  </si>
  <si>
    <t>A empresa possui controle sobre seu capital de giro?</t>
  </si>
  <si>
    <t>A empresa não possui qualquer informação sobre o seu capital de giro.</t>
  </si>
  <si>
    <t>A empresa sabe intuitivamente que há um nível mínimo de caixa para compras do próximo mês.</t>
  </si>
  <si>
    <t>A empresa sabe quanto precisa ter de capital de giro, mas não consegue garantir seu nível ideal.</t>
  </si>
  <si>
    <t>A empresa sabe seu capital de giro necessário e faz projeções para manter o nível adequado.</t>
  </si>
  <si>
    <t>Levante o nível mínimo de caixa necessário para realizar compras e cumprir obrigações do próximo mês sem entrar no negativo.</t>
  </si>
  <si>
    <t>Calcule o valor exato que a empresa precisa ter em caixa.</t>
  </si>
  <si>
    <t xml:space="preserve">Analise e identifique mensalmente possíveis variações para garantir um nível adequado. </t>
  </si>
  <si>
    <t>A empresa possui uma identidade visual e comunica sua marca?</t>
  </si>
  <si>
    <t>A empresa não possui identidade visual.</t>
  </si>
  <si>
    <t>A empresa possui identidade visual feita emergencial ou amadoramente e já está desatualizada.</t>
  </si>
  <si>
    <t>A empresa possui identidade visual atualizada, desenvolvida por designer e passa credibilidade aos seus clientes.</t>
  </si>
  <si>
    <t>A empresa possui identidade visual adequada e a expõe em todos os materiais usados.</t>
  </si>
  <si>
    <t>Crie uma identidade visual. Identidade visual é uma representação gráfica da identidade corporativa, dos conceitos e valores da empresa. O processo de criação deve levar em consideração diversos fatores, como a cultura da empresa, seu posicionamento no mercado, a imagem perante o público, objetivos, foco, missão, etc. A identidade visual de uma organização reflete a sua cultura. Por isso, você deve dar uma atenção especial ao processo de criação da mesma.</t>
  </si>
  <si>
    <t>Atualize sua identidade visual com a ajuda de um profissional de design.</t>
  </si>
  <si>
    <t xml:space="preserve">Insira a identidade visual em seus materiais, preocupando-se para que ela seja condizente com a imagem que quer passar para o publico alvo. </t>
  </si>
  <si>
    <t>A empresa está presente na internet?</t>
  </si>
  <si>
    <t>A empresa não está presente na internet (não possui um website).</t>
  </si>
  <si>
    <t>A empresa possui domínio próprio registrado e um website que está desatualizado.</t>
  </si>
  <si>
    <t>A empresa possui um website e o utiliza como meio de comunicação.</t>
  </si>
  <si>
    <t>A empresa possui website atualizado, utiliza e-mail marketing, blog e está em mídias sociais.</t>
  </si>
  <si>
    <t>Registre um domínio na internet e crie um website.</t>
  </si>
  <si>
    <t xml:space="preserve">Atualize o website e o utilize como meio de comunicação (área de notícias, e-mail marketing ou blog) para se promover e se relacionar com seus clientes. Vale lembrar que o blog, que ofereça conteúdo relevante a seu cliente e é uma ferramenta que pode ser muito útil na comunicação com eles, porque possui é mais segmentado, tem fluxo de acessos mais sólido, é uma pesquisa de mercado viva, além de fazer sua equipe se atualizar. </t>
  </si>
  <si>
    <t xml:space="preserve">Participe de mídias sociais para promover a marca e contato com clientes. Para obter sucesso nessas redes você deve: monitorar seu público-alvo, monitorar suas mídias, acompanhar as informações relacionadas aos seus produtos e sua marca que podem contribuir para divulgação dos mesmos e divulgar promoções. </t>
  </si>
  <si>
    <t>A empresa tem seu segmento definido e se divulga de maneira focada?</t>
  </si>
  <si>
    <t>A empresa não possui foco, simplesmente vende o que é solicitado ou o que já vem dando certo.</t>
  </si>
  <si>
    <t>A empresa possui um segmento, mas não realiza ações direcionadas ao seu foco.</t>
  </si>
  <si>
    <t>Há foco planejado, ações direcionadas aos clientes e criação de novas ofertas para cada cliente.</t>
  </si>
  <si>
    <t>A empresa se divulga focadamente para seu público e monitora os resultados.</t>
  </si>
  <si>
    <t>Segmente seus clientes e ofereça soluções personalizadas para cada segmento escolhido.</t>
  </si>
  <si>
    <t>Realize ações direcionadas aos seus clientes-foco, utilizando-se dos canais corretos. Por isso, após segmentar seu público-alvo estude cada um dos segmentos e descubra quais mídias e ações os atingiram com maior eficiência.</t>
  </si>
  <si>
    <t xml:space="preserve">Utilize canais apropriados ao seu perfil de público-alvo e monitore os diferentes perfis de consumo de cada cliente. </t>
  </si>
  <si>
    <t>A empresa realiza ações para aumentar seu número de clientes?</t>
  </si>
  <si>
    <t>A empresa não realiza ações para aumentar o seu número de clientes. Simplesmente responde às demandas.</t>
  </si>
  <si>
    <t>A empresa realiza divulgações tradicionais como: panfletos, anúncios em páginas amarelas, etc.</t>
  </si>
  <si>
    <t>A empresa realiza divulgações tradicionais e também busca atualidade com mídias alternativas.</t>
  </si>
  <si>
    <t>A empresa realiza divulgações off-line, on-line e participa de feiras, eventos e associações.</t>
  </si>
  <si>
    <t>Realize divulgações tradicionais (off-line) (ex: panfletos, anúncios em revistas especializadas, cartazes, folders, busdoor, outdoor, etc).</t>
  </si>
  <si>
    <t xml:space="preserve">Realize ações de divulgação on-line (internet). Uma boa opção de fazer isto de forma on-line é utilizar a mídia conhecida como links patrocinados. </t>
  </si>
  <si>
    <t xml:space="preserve">Participe de feiras, eventos e associações do setor.Feira é um lugar onde se consegue uma aproximação maior e mais qualificada com representantes, compradores, distribuidores e até o consumidor final. Por isso, não deixe de participar e expor seus produtos e serviços.
</t>
  </si>
  <si>
    <t>A empresa monitora a satisfação de seus clientes?</t>
  </si>
  <si>
    <t>A empresa não realiza quaisquer ações para monitorar a satisfação de seus clientes.</t>
  </si>
  <si>
    <t>A empresa recebe reclamações de maneira informal e não as registra.</t>
  </si>
  <si>
    <t>Há um chat para entrar em contato com os clientes e responder a suas dúvidas.</t>
  </si>
  <si>
    <t>Há chat, pesquisas de satisfação, registro de reclamações via ticket online e busca de melhorias.</t>
  </si>
  <si>
    <t>Crie um canal para receber reclamações dos clientes. Você pode utilizar várias ferramentas: chats, Fale Conosco, Caixa de Sugestões e Reclamações, etc. O ato de ouvir o cliente demonstra para ele a preocupação da organização em melhor atendê-lo.</t>
  </si>
  <si>
    <t xml:space="preserve">Crie um serviço de atendimento ao cliente para discussão e resposta das reclamações. Se você quiser ouvir seus clientes, esteja preparado para fazê-lo, ou pelo menos interessado em saber seus pontos fracos e resolvê-los! Não deixe de responder as reclamações feitas por eles, isso demonstra respeito ao consumidor e preocupação com a opinião dele sobre a sua empresa. </t>
  </si>
  <si>
    <t xml:space="preserve">Realize pesquisas de satisfação periodicamente de forma ativa por uma equipe, registre as reclamações dadas pelo cliente através de um software que gera tickets de reclamações, avalie e implemente melhorias a partir das mesmas. O objetivo da pesquisa de satisfação de clientes é mensurar o que os clientes estão pensando, sentindo e fazendo sobre os processos, produtos e serviços da organização – empresa ou área. </t>
  </si>
  <si>
    <t>MARKETING</t>
  </si>
  <si>
    <t>A empresa compreende seus processos de negócios e os registra?</t>
  </si>
  <si>
    <t>A empresa não tem um padrão de execução.</t>
  </si>
  <si>
    <t>Há processos mapeados e manualizados, mas não se verifica se são cumpridos corretamente.</t>
  </si>
  <si>
    <t>Há controle do cumprimento e qualidade dos processos via indicadores e auditorias.</t>
  </si>
  <si>
    <t>Controla-se cumprimento e qualidade de processos buscando melhoria na redução tempo/custos.</t>
  </si>
  <si>
    <t>Identifique e mapeie os processos críticos da empresa. O ponto crucial de um mapeamento é determinar quais os processos de maior impacto nos negócios da empresa. Os processos "críticos" da organização são aqueles que afetam diretamente ou com maior intensidade a lucratividade ou o futuro dos negócios. Antes de identificá-los é preciso, porém, saber claramente quais são os objetivos estratégicos da empresa. Eles são o ponto de partida de todo o trabalho, mas isso não significa que o trabalho de revisão de processos só possa ser feito se a empresa tiver um plano estratégico formal.  A partir dos objetivos estratégicos deve-se sempre definir primeiramente o chamado "processo macro" da empresa ou do negócio. Este é definido pela principal sequência de atividades desde a entrada do pedido do cliente até a entrega do produto ou serviço a ele.</t>
  </si>
  <si>
    <t>Controle corretamente a execução dos processos e sua qualidade por indicadores de desempenho e auditorias. O controle dos processos tem como objetivo verificar se a maneira como a empresa está executando os seus principais processos de negócios está de acordo com os objetivos, metas e estratégias definidas pela administração.  O monitoramento constante permite que correções possam ser feitas de maneira antecipada e sem afetar o correto funcionamento da empresa.</t>
  </si>
  <si>
    <t xml:space="preserve">Busque melhorias em redução de tempo e custos envolvidos nos processos. Melhoria contínua é o conjunto de atividades planejadas através das quais todas as partes da organização objetivam aumentar a satisfação do cliente, tanto para os clientes internos quanto externos. Demonstra que os esforços de melhoria da concorrência são constantes e que as expectativas dos clientes estão aumentando. É preciso melhorar se quisermos manter a parcela de mercado. </t>
  </si>
  <si>
    <t>A empresa possui políticas para a escolha e relacionamento de seus fornecedores?</t>
  </si>
  <si>
    <t>A empresa não possui qualquer política para fornecedores.</t>
  </si>
  <si>
    <t>A empresa possui critérios para fazer a qualificação (antes da compra).</t>
  </si>
  <si>
    <t>Há critérios para qualificar e avaliar (pós-compra) o desempenho de seus fornecedores.</t>
  </si>
  <si>
    <t>A empresa se relaciona como parceiros com seus fornecedores favorecendo ambos os lados.</t>
  </si>
  <si>
    <t xml:space="preserve">Estabeleça critérios básicos para escolha de fornecedores. O objetivo da função compras é conseguir tudo ao mesmo tempo: qualidade, quantidade, prazo de entrega e preço. Uma vez tomada a decisão sobre o que comprar, a segunda decisão mais importante refere-se ao fornecedor certo. Um bom fornecedor é aquele que tem a tecnologia para fabricar o produto na qualidade exigida, tem a capacidade de produzir as quantidades necessárias e pode administrar seu negócio com eficiência suficiente para ter lucros e ainda assim vender um produto a preços competitivos. Isso não significa que, uma vez tomada a decisão, sua empresa deva deixar de avaliar o fornecedor.  </t>
  </si>
  <si>
    <t xml:space="preserve">Crie critérios para qualificar e avaliar (pós-compra) o desempenho de seus fornecedores. A avaliação e qualificação dos fornecedores tem seu início quando do processo de aquisição. No mercado, a prática mais comum consiste em selecionar os produtos críticos, os quais podem impactar no produto final da empresa, e em cima destes produtos avaliar e qualificar os fornecedores. Neste método são definidos aspectos e critérios de avaliação como qualidade, preço, pontualidade, dentre outros. A periodicidade da avaliação é outro ponto a ser observado, pode ser mensal, bimestral, anual, etc., dependendo muito da forma como a empresa deseja gerenciar este processo. Operar com fornecedores alinhados e ajustados aos valores da empresa auxilia na otimização dos processos e contribui para o desenvolvimento sustentável da organização. </t>
  </si>
  <si>
    <t>Avalie e dê feedback aos fornecedores para busca de melhoria de seus serviços, fortalecendo a relação de parceria. Um ponto importante na avaliação e qualificação dos fornecedores é a comunicação. Os fornecedores devem ser constantemente comunicados sobre seu desempenho dentro da organização. A empresa deve manter um registro atualizado das não conformidades observadas junto a este e tais não conformidades devem ser tratadas junto aos fornecedores para que este execute seus devidos planos de ação e de correção das ocorrências. Além disso, as avaliações positivas também devem ser comunicadas a fim de que sirva como motivação para melhoria continua do fornecimento.</t>
  </si>
  <si>
    <t>A empresa faz uso da tecnologia em seus processos?</t>
  </si>
  <si>
    <t>A empresa não emprega para melhorar seus processos</t>
  </si>
  <si>
    <t xml:space="preserve">A empresa utiliza email próprio e compartilhado para colaboradores. </t>
  </si>
  <si>
    <t>Há email e agenda compartilhados (ex:google agenda) e documentos na nuvem (ex: dropbox).</t>
  </si>
  <si>
    <t>Utiliza-se serviços de compartilhamento de dados e softwares de gestão.</t>
  </si>
  <si>
    <t xml:space="preserve">É importante usar a tecnologia a favor da melhoria de seus processos. Um primeiro passo é utilizar email próprio e compartilhado para colaboradores, pois isto além de uniformizar o endereço de email,  facilita a comunicação entre os funcionários. </t>
  </si>
  <si>
    <t xml:space="preserve">Experimente mais ferramentas como agenda (google agenda) e documentos compartilhados na nuvem (dropbox, google drive) para que seus processos sejam melhor organizados. </t>
  </si>
  <si>
    <t xml:space="preserve">Um passo adiante no uso de tecnologia nos processos é a utilização de softwares de gestão como de contatos, de controle financeiro, dentre outros, que irão permitir um maior domínio e otimização de seus processos. </t>
  </si>
  <si>
    <t>A empresa tem controle sobre seu estoque?</t>
  </si>
  <si>
    <t>A empresa não controla seu estoque.</t>
  </si>
  <si>
    <t>A empresa possui um inventário realizado, porém desatualizado.</t>
  </si>
  <si>
    <t>A empresa possui inventário realizado periodicamente.</t>
  </si>
  <si>
    <t>A empresa possui inventário atualizado com ponto de recompra para cada item.</t>
  </si>
  <si>
    <t>Controle os seus itens mais valiosos/críticos.Por exemplo, se você possui uma oficina mecânica, gerencie apenas as entradas e saídas de pneus, pois estes são os produtos mais caros e que não podem faltar.</t>
  </si>
  <si>
    <t>Realize um levantamento do inventário periodicamente.</t>
  </si>
  <si>
    <t xml:space="preserve">Calcule o ponto de recompra dos produtos para evitar faltas ou excesso de itens estocados. </t>
  </si>
  <si>
    <t>A empresa gerencia suas compras?</t>
  </si>
  <si>
    <t>A empresa não gerencia suas compras.</t>
  </si>
  <si>
    <t>A empresa gerencia suas compras apenas por cotação de preços com diferentes fornecedores.</t>
  </si>
  <si>
    <t>A empresa gerencia suas compras por cotação de preços e forma de pagamento.</t>
  </si>
  <si>
    <t>Gerencia-se compras com base em avaliações de preço, forma de pagamento, prazo de entrega.</t>
  </si>
  <si>
    <t>Gerencie suas compras por cotação de preços com diferentes fornecedores e escolha pelo menor custo x benefício.</t>
  </si>
  <si>
    <t>Gerencie suas compras por cotação de preços e forma de pagamento.</t>
  </si>
  <si>
    <t>Gerencie suas compras baseando-se em avaliações de preço, forma de pagamento, prazo de entrega e qualidade do fornecedor.</t>
  </si>
  <si>
    <t>OPERAÇÕES</t>
  </si>
  <si>
    <t>RH</t>
  </si>
  <si>
    <t>Como é feita a comunicação interna dentro da empresa?</t>
  </si>
  <si>
    <t>A empresa não tem um procedimento de comunicação interna.</t>
  </si>
  <si>
    <t>A empresa realiza reuniões periódicas de equipe para promover a troca de informações.</t>
  </si>
  <si>
    <t>Há reuniões, reforço de estratégias, valores, metas, resultados e plano de ação.</t>
  </si>
  <si>
    <t>Há reuniões, quadro de comunicados e  ferramenta de gestão do conhecimento (wiki).</t>
  </si>
  <si>
    <t xml:space="preserve">Realize reuniões periódicas de equipe para promover a troca de informações. Muitos gestores mudam as regras e esquecem de comunicar as mudanças aos mais interessados, os funcionários. Esse tipo de erro aumenta as chances das mudanças realizadas não trazerem os resultados esperados, pois se os funcionários não sabem das mudanças ocorridas, porque elas ocorreram e como elas devem agir, não podem contribuir para o sucesso das ações. Uma boa maneira de comunicar aos seus funcionários a estratégia da empresa é realizar reuniões periódicas e promover nestas reuniões um diálogo aberto e a troca de informações. Não estamos sugerindo uma reunião geral da empresa, mas  reuniões menores periódicas entre as equipes. Além disso, podem ser utilizadas ferramentas de comunicação como um sistema  de comunicação em grupo como fóruns para manter os colaboradores informados. </t>
  </si>
  <si>
    <t>Crie um quadro/mural para postar comunicados e reforçar as diretrizes estratégicas. Um quadro ou mural é uma ótima ferramenta de comunicação. Nele você pode colocar as metas, diretrizes, definição da cultura da empresa, resultados apurados no último período, ou seja, tudo que você deseja comunicar aos seus colaboradores. Mas, se decidir por usar esta ferramenta não deixe de atualizá-la e trabalhe as informações de forma criativa, para que seus funcionários tenham interesse em olhar as informações ali colocadas.</t>
  </si>
  <si>
    <t>Crie uma ferramenta de gestão do conhecimento (wiki) para registro contínuo e consultas futuras.  Esse tipo de ferramenta auxilia um dos diferenciais utilizados pelas empresas de grande porte: a colaboratividade.  Assim todos se sentem importantes e capazes de auxiliar na construção de uma empresa melhor e mais bem informada.</t>
  </si>
  <si>
    <t>Como é feita a definição dos cargos e a avaliação dos salários distribuídos?</t>
  </si>
  <si>
    <t>A empresa não possui política de cargos e salários.</t>
  </si>
  <si>
    <t>As funções são distribuidas entre os cargos, porém não existe um registro.</t>
  </si>
  <si>
    <t>A empresa possui um manual com a descrição de cargos e salários, mas está desatualizado.</t>
  </si>
  <si>
    <t>Há um manual com a descrição de cargos e salários atualizado e compatível com o mercado.</t>
  </si>
  <si>
    <t>Defina e distribua responsabilidades e funções pelos cargos. A gestão do recurso humano é um ponto chave para que você obtenha os resultados esperados em seu negócio. Uma das questões mais importantes na gestão deste recurso e a definição das responsabilidades para cada cargo da empresa. Quando seus funcionários sabem exatamente quais são suas responsabilidades fica mais fácil controlar o que está e o que não está sendo feito e o que precisa ser melhorado.  Portanto, sente com cada funcionário e detalhe com ele o que se espera do seu desempenho na empresa.</t>
  </si>
  <si>
    <t xml:space="preserve">Registre as funções esperadas de cada cargo. Crie um manual de cada cargo e deixe este material disponível para seus funcionários. Cada novo funcionário deve ser instruído nas suas funções conforme descrito no manual, isso padronizará o exercício das funções dentro da empresa. </t>
  </si>
  <si>
    <t>Atualize a descrição de cargos e compatibilize-o com as atividades realizadas na sua empresa. As mudanças do mercado se refletem na sua empresa e essas mudanças podem refletir nas atividades que seus funcionários realizam. Um cargo pode passar a realizar mais ou menos funções do que o que está descrito no manual de cargos da sua empresa. Se isto ocorrer você precisa atualizar o manual e apresentar aos seus funcionários quais mudanças ocorreram na divisão de tarefas.</t>
  </si>
  <si>
    <t>Como são estrututradas as políticas de reconhecimento e incentivo dos funcionários?</t>
  </si>
  <si>
    <t>A empresa não possui qualquer política de reconhecimento ou recompensa.</t>
  </si>
  <si>
    <t>A política de reconhecimento e incentivos existe, mas apenas para poucos casos (ex: comercial).</t>
  </si>
  <si>
    <t>A empresa possui uma política de reconhecimento e incentivos com critérios claros.</t>
  </si>
  <si>
    <t>Há uma política de reconhecimento e incentivos com critérios claros e metas definidas.</t>
  </si>
  <si>
    <t xml:space="preserve">Implemente reconhecimentos e incentivos para a equipe de vendas. Para incentivar sua equipe de vendas você deve implementar uma política de incentivos, essa deve estar condizente com os critérios de avaliação e com os resultados esperados. </t>
  </si>
  <si>
    <t xml:space="preserve">Expanda a política de reconhecimento e incentivos para outros cargos. Diferentes cargos contribuem de forma diferente para o sucesso da organização, por isso você deve procurar estabelecer critérios de avaliação e premiação de acordo com o papel que cada funcionário desempenha no seu negócio, assim sua avaliação será justa e seus funcionários se sentirão mais estimulados. </t>
  </si>
  <si>
    <t xml:space="preserve">Defina metas para premiação. Superar metas deve ser o maior incentivo para seus colaboradores desempenharem um bom papel dentro da organização, por isso, estabeleça metas justas e claras, se possível em conjunto com os seus colaboradores. </t>
  </si>
  <si>
    <t>Como são feitas as avaliações de desempenho dos funcionários?</t>
  </si>
  <si>
    <t>A empresa não avalia o desempenho de seus funcionários.</t>
  </si>
  <si>
    <t>Há avaliação de desempenho, subjetiva, sem critérios, ou periodicidade definida.</t>
  </si>
  <si>
    <t>Há avaliação com critérios, periodicidade definida e feedbacks construtivos aos colaboradores.</t>
  </si>
  <si>
    <t>Há avaliação de desempenho formal, feedbacks e cruzamento de dados com a satisfação.</t>
  </si>
  <si>
    <t>Faça avaliações do desempenho dos funcionários. Tão importante quanto contratar um bom funcionário é saber como ele está desempenhando seu papel dentro da organização. Se um funcionário está indo mal, você deve orientá-lo para que melhore e volte a contribuir para o crescimento da organização, pois, caso não melhore, você deve substitui-lo. Se um funcionário está indo bem, contribui para o desenvolvimento da organização e dos seus colegas, esse funcionário merece ser recompensado e reconhecido. Mas, nas duas situações, você só saberá se um funcionário está indo bem ou não se realizar uma avaliação periódica.</t>
  </si>
  <si>
    <t>Torne a avaliação de desempenho um processo formal, com critérios e periodicidade definida, dando feedbacks construtivos à sua força de trabalho após sua realização. A formalização da avaliação dos funcionários contribui para o desenvolvimento da organização e do próprio funcionário avaliado. Mas ninguém gosta de se sentir injustiçado e você deve evitar, ao máximo, que isso ocorra dentro da sua empresa, por isso, ao estabelecer uma metodologia de avaliação e feedback, defina os critérios e divulgue-os. Além disso, utilize a avaliação para desenvolver seus funcionários e não para condená-los perante seus colegas de trabalho.</t>
  </si>
  <si>
    <t>Cruze os dados da avaliação de desempenho com uma pesquisa de clima organizacional. O clima organizacional pode contribuir muito para o melhor desempenho dos seus funcionários, por isso é importante avaliar qual a percepção do cliente interno sobre a organização por meio de uma pesquisa de clima organizacional.</t>
  </si>
  <si>
    <t>cruta os funcionários e anuncia suas vagas?</t>
  </si>
  <si>
    <t>A empresa não possui processo de recrutamento e seleção.</t>
  </si>
  <si>
    <t>Há entrevistas com candidatos e pede-se referências a terceiros.</t>
  </si>
  <si>
    <t xml:space="preserve">Há  entrevistas com candidatos e faz testes simulando atividades da empresa.  </t>
  </si>
  <si>
    <t>A empresa realiza um período de experiência com os candidatos com atividades cotidianas da empresa.</t>
  </si>
  <si>
    <t>Realize a seleção através de indicações e entrevistas. Incentive seus funcionários a indicar pessoas que se encaixam no perfil da empresa. Busque na indicação o comprometimento de quem a fez para que o desempenho do candidato e futuro colaborador seja também avaliado pela pessoa responsável pela indicação e esta seja co-autora e co-responsável pelos atos, comportamentos e permanência ou não de seu indicado.</t>
  </si>
  <si>
    <t>Realize seleções com base em critérios definidos.  Os critérios de seleção devem ser claros e unificados para que você consiga manter um padrão de qualidade entre os selecionados para fazer parte da sua equipe.Além disso, pode-se realizar testes simulando atividades diárias da empresa.</t>
  </si>
  <si>
    <t>Realize um período de experiência com o candidato e delegue tarefa reais da empresa para que o candidato possa ter uma ideia melhor de como seria o dia a dia na empresa e esta verificar se o candidato se adapta.</t>
  </si>
  <si>
    <t>ÁREAS</t>
  </si>
  <si>
    <t>NOTAS</t>
  </si>
  <si>
    <t>Maturidade</t>
  </si>
  <si>
    <t>Nível 1 - Não existem processos gerenciais aplicados ao negócio e os resultados são obtidos através de iniciativas desestruturadas</t>
  </si>
  <si>
    <t>Nível 2- Não existem processos gerenciais formais, mas algumas áreas de gestão já possuem rotinas para gerar os resultados esperados</t>
  </si>
  <si>
    <t>Nível 3- Existem processos gerenciais formais, no entanto eles são aplicados de maneira descoordenada para gerar os resultados esperados</t>
  </si>
  <si>
    <t>Nível 4 - Existem processos gerenciais formais e eles são aplicados de maneira coordenada para atingir os resultados esperados</t>
  </si>
  <si>
    <t>Nível 5 - Os processos gerenciais são práticas padrão da empresa. Eles são monitorados, afetam o negócio e são melhorados continuamente.</t>
  </si>
  <si>
    <t>MATURIDADE</t>
  </si>
  <si>
    <t>TOTAL</t>
  </si>
  <si>
    <t>NOTA</t>
  </si>
  <si>
    <t>A empresa não possui negócio definido ou compreendido por toda a empresa.</t>
  </si>
  <si>
    <t>A empresa possui diretrizes bem definidas, as quais são de conhecimento em todos os níveis da mesma.</t>
  </si>
  <si>
    <t>A empresa possui iniciativas indiretas, através do incentivo à parceiros.</t>
  </si>
  <si>
    <t>A empresa possui diretrizes estratégicas bem definidas e disseminadas por toda a empresa?</t>
  </si>
  <si>
    <t>Como a empresa emprega os conceitos de responsabilidade sócio-empresarial?</t>
  </si>
  <si>
    <t>Ótimo! Empresa completa nesse quesito.</t>
  </si>
  <si>
    <r>
      <rPr>
        <b/>
        <i/>
        <sz val="18"/>
        <color theme="0"/>
        <rFont val="Calibri"/>
        <family val="2"/>
        <scheme val="minor"/>
      </rPr>
      <t>DIAGNÓSTICO EMPRESARIAL</t>
    </r>
    <r>
      <rPr>
        <i/>
        <sz val="16"/>
        <color theme="0"/>
        <rFont val="Calibri"/>
        <family val="2"/>
        <scheme val="minor"/>
      </rPr>
      <t xml:space="preserve"> - INÍCIO</t>
    </r>
  </si>
  <si>
    <r>
      <rPr>
        <b/>
        <i/>
        <sz val="18"/>
        <color theme="0"/>
        <rFont val="Calibri"/>
        <family val="2"/>
        <scheme val="minor"/>
      </rPr>
      <t>DIAGNÓSTICO EMPRESARIAL</t>
    </r>
    <r>
      <rPr>
        <i/>
        <sz val="16"/>
        <color theme="0"/>
        <rFont val="Calibri"/>
        <family val="2"/>
        <scheme val="minor"/>
      </rPr>
      <t xml:space="preserve"> - PERGUNTAS E RESPOSTAS</t>
    </r>
  </si>
  <si>
    <r>
      <rPr>
        <b/>
        <i/>
        <sz val="18"/>
        <color theme="0"/>
        <rFont val="Calibri"/>
        <family val="2"/>
        <scheme val="minor"/>
      </rPr>
      <t>DIAGNÓSTICO EMPRESARIAL</t>
    </r>
    <r>
      <rPr>
        <i/>
        <sz val="16"/>
        <color theme="0"/>
        <rFont val="Calibri"/>
        <family val="2"/>
        <scheme val="minor"/>
      </rPr>
      <t xml:space="preserve"> - CADASTRO</t>
    </r>
  </si>
  <si>
    <r>
      <rPr>
        <b/>
        <i/>
        <sz val="18"/>
        <color theme="0"/>
        <rFont val="Calibri"/>
        <family val="2"/>
        <scheme val="minor"/>
      </rPr>
      <t>DIAGNÓSTICO EMPRESARIAL</t>
    </r>
    <r>
      <rPr>
        <i/>
        <sz val="16"/>
        <color theme="0"/>
        <rFont val="Calibri"/>
        <family val="2"/>
        <scheme val="minor"/>
      </rPr>
      <t xml:space="preserve"> - ESTRATÉGIA</t>
    </r>
  </si>
  <si>
    <r>
      <rPr>
        <b/>
        <i/>
        <sz val="18"/>
        <color theme="0"/>
        <rFont val="Calibri"/>
        <family val="2"/>
        <scheme val="minor"/>
      </rPr>
      <t>DIAGNÓSTICO EMPRESARIAL</t>
    </r>
    <r>
      <rPr>
        <i/>
        <sz val="16"/>
        <color theme="0"/>
        <rFont val="Calibri"/>
        <family val="2"/>
        <scheme val="minor"/>
      </rPr>
      <t xml:space="preserve"> - FINANÇAS</t>
    </r>
  </si>
  <si>
    <r>
      <rPr>
        <b/>
        <i/>
        <sz val="18"/>
        <color theme="0"/>
        <rFont val="Calibri"/>
        <family val="2"/>
        <scheme val="minor"/>
      </rPr>
      <t>DIAGNÓSTICO EMPRESARIAL</t>
    </r>
    <r>
      <rPr>
        <i/>
        <sz val="16"/>
        <color theme="0"/>
        <rFont val="Calibri"/>
        <family val="2"/>
        <scheme val="minor"/>
      </rPr>
      <t xml:space="preserve"> - MARKETING</t>
    </r>
  </si>
  <si>
    <r>
      <rPr>
        <b/>
        <i/>
        <sz val="18"/>
        <color theme="0"/>
        <rFont val="Calibri"/>
        <family val="2"/>
        <scheme val="minor"/>
      </rPr>
      <t>DIAGNÓSTICO EMPRESARIAL</t>
    </r>
    <r>
      <rPr>
        <i/>
        <sz val="16"/>
        <color theme="0"/>
        <rFont val="Calibri"/>
        <family val="2"/>
        <scheme val="minor"/>
      </rPr>
      <t xml:space="preserve"> - OPERAÇÕES</t>
    </r>
  </si>
  <si>
    <r>
      <rPr>
        <b/>
        <i/>
        <sz val="18"/>
        <color theme="0"/>
        <rFont val="Calibri"/>
        <family val="2"/>
        <scheme val="minor"/>
      </rPr>
      <t>DIAGNÓSTICO EMPRESARIAL</t>
    </r>
    <r>
      <rPr>
        <i/>
        <sz val="16"/>
        <color theme="0"/>
        <rFont val="Calibri"/>
        <family val="2"/>
        <scheme val="minor"/>
      </rPr>
      <t xml:space="preserve"> - RECURSOS HUMANOS</t>
    </r>
  </si>
  <si>
    <t>Nota</t>
  </si>
  <si>
    <t>Oportunidade de melhoria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</si>
</sst>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R$&quot;\ * #,##0.00_-;\-&quot;R$&quot;\ * #,##0.00_-;_-&quot;R$&quot;\ * &quot;-&quot;??_-;_-@_-"/>
    <numFmt numFmtId="43" formatCode="_-* #,##0.00_-;\-* #,##0.00_-;_-* &quot;-&quot;??_-;_-@_-"/>
  </numFmts>
  <fonts count="18" x14ac:knownFonts="1">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b/>
      <sz val="11"/>
      <color theme="1" tint="0.249977111117893"/>
      <name val="Calibri"/>
      <family val="2"/>
      <scheme val="minor"/>
    </font>
    <font>
      <sz val="10"/>
      <color theme="1"/>
      <name val="Calibri"/>
      <family val="2"/>
      <scheme val="minor"/>
    </font>
    <font>
      <sz val="11"/>
      <name val="Calibri"/>
      <family val="2"/>
      <scheme val="minor"/>
    </font>
    <font>
      <b/>
      <sz val="11"/>
      <name val="Calibri"/>
      <family val="2"/>
      <scheme val="minor"/>
    </font>
    <font>
      <b/>
      <sz val="14"/>
      <color theme="0"/>
      <name val="Calibri"/>
      <family val="2"/>
      <scheme val="minor"/>
    </font>
    <font>
      <sz val="12"/>
      <color rgb="FF000000"/>
      <name val="Calibri"/>
      <family val="2"/>
      <scheme val="minor"/>
    </font>
    <font>
      <sz val="10"/>
      <color theme="0"/>
      <name val="Calibri"/>
      <family val="2"/>
      <scheme val="minor"/>
    </font>
    <font>
      <b/>
      <sz val="11"/>
      <color theme="0"/>
      <name val="Calibri"/>
      <family val="2"/>
      <scheme val="minor"/>
    </font>
    <font>
      <b/>
      <i/>
      <sz val="22"/>
      <color theme="0"/>
      <name val="Calibri"/>
      <family val="2"/>
      <scheme val="minor"/>
    </font>
    <font>
      <b/>
      <i/>
      <sz val="18"/>
      <color theme="0"/>
      <name val="Calibri"/>
      <family val="2"/>
      <scheme val="minor"/>
    </font>
    <font>
      <i/>
      <sz val="16"/>
      <color theme="0"/>
      <name val="Calibri"/>
      <family val="2"/>
      <scheme val="minor"/>
    </font>
    <font>
      <b/>
      <sz val="22"/>
      <color theme="0"/>
      <name val="Calibri"/>
      <family val="2"/>
      <scheme val="minor"/>
    </font>
    <font>
      <b/>
      <sz val="10"/>
      <color theme="0"/>
      <name val="Calibri"/>
      <family val="2"/>
      <scheme val="minor"/>
    </font>
    <font>
      <b/>
      <sz val="12"/>
      <color theme="0"/>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1"/>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008000"/>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rgb="FF00808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theme="0"/>
      </left>
      <right/>
      <top style="medium">
        <color theme="0" tint="-4.9989318521683403E-2"/>
      </top>
      <bottom/>
      <diagonal/>
    </border>
    <border>
      <left/>
      <right style="thin">
        <color indexed="64"/>
      </right>
      <top/>
      <bottom/>
      <diagonal/>
    </border>
    <border>
      <left style="medium">
        <color indexed="64"/>
      </left>
      <right/>
      <top style="medium">
        <color indexed="64"/>
      </top>
      <bottom style="dashed">
        <color theme="6" tint="-0.499984740745262"/>
      </bottom>
      <diagonal/>
    </border>
    <border>
      <left/>
      <right/>
      <top style="medium">
        <color indexed="64"/>
      </top>
      <bottom style="dashed">
        <color theme="6" tint="-0.499984740745262"/>
      </bottom>
      <diagonal/>
    </border>
    <border>
      <left/>
      <right/>
      <top/>
      <bottom style="dashed">
        <color theme="6" tint="-0.499984740745262"/>
      </bottom>
      <diagonal/>
    </border>
    <border>
      <left/>
      <right style="thick">
        <color theme="0"/>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left>
      <right style="medium">
        <color theme="0"/>
      </right>
      <top style="medium">
        <color theme="0"/>
      </top>
      <bottom style="medium">
        <color theme="0"/>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ck">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55">
    <xf numFmtId="0" fontId="0" fillId="0" borderId="0" xfId="0"/>
    <xf numFmtId="0" fontId="0" fillId="2" borderId="0" xfId="0" applyFill="1"/>
    <xf numFmtId="0" fontId="0" fillId="0" borderId="0" xfId="0" applyBorder="1"/>
    <xf numFmtId="0" fontId="3" fillId="0" borderId="0" xfId="0" applyFont="1"/>
    <xf numFmtId="0" fontId="0" fillId="0" borderId="0" xfId="0" applyAlignment="1">
      <alignment horizontal="center"/>
    </xf>
    <xf numFmtId="0" fontId="3" fillId="0" borderId="0" xfId="0" applyFont="1" applyAlignment="1">
      <alignment horizontal="center"/>
    </xf>
    <xf numFmtId="44" fontId="3" fillId="0" borderId="0" xfId="1" applyFont="1"/>
    <xf numFmtId="0" fontId="0" fillId="0" borderId="0" xfId="0" applyAlignment="1">
      <alignment horizontal="center" wrapText="1"/>
    </xf>
    <xf numFmtId="0" fontId="4" fillId="4" borderId="2" xfId="0" applyFont="1" applyFill="1" applyBorder="1" applyAlignment="1">
      <alignment horizontal="center" vertical="center" wrapText="1"/>
    </xf>
    <xf numFmtId="0" fontId="7" fillId="8" borderId="2" xfId="0" applyFont="1" applyFill="1" applyBorder="1" applyAlignment="1">
      <alignment horizontal="center" vertical="center" wrapText="1"/>
    </xf>
    <xf numFmtId="0" fontId="4" fillId="10" borderId="2" xfId="0" applyFont="1" applyFill="1" applyBorder="1" applyAlignment="1">
      <alignment horizontal="center" vertical="center" wrapText="1"/>
    </xf>
    <xf numFmtId="0" fontId="0" fillId="3" borderId="1" xfId="0" applyFill="1" applyBorder="1" applyAlignment="1">
      <alignment horizontal="left" vertical="center" wrapText="1"/>
    </xf>
    <xf numFmtId="0" fontId="0" fillId="7" borderId="1" xfId="0" applyFill="1" applyBorder="1" applyAlignment="1">
      <alignment horizontal="left" vertical="center" wrapText="1"/>
    </xf>
    <xf numFmtId="0" fontId="0" fillId="9" borderId="1" xfId="0" applyFill="1" applyBorder="1" applyAlignment="1">
      <alignment horizontal="left" vertical="center" wrapText="1"/>
    </xf>
    <xf numFmtId="0" fontId="3" fillId="0" borderId="0" xfId="0" applyFont="1" applyAlignment="1">
      <alignment horizontal="center" wrapText="1"/>
    </xf>
    <xf numFmtId="0" fontId="0" fillId="0" borderId="0" xfId="0" applyAlignment="1">
      <alignment wrapText="1"/>
    </xf>
    <xf numFmtId="0" fontId="3" fillId="0" borderId="0" xfId="0" applyFont="1" applyAlignment="1">
      <alignment wrapText="1"/>
    </xf>
    <xf numFmtId="0" fontId="6" fillId="0" borderId="0" xfId="0" applyFont="1" applyAlignment="1">
      <alignment wrapText="1"/>
    </xf>
    <xf numFmtId="0" fontId="9" fillId="0" borderId="1" xfId="0" applyFont="1" applyBorder="1" applyAlignment="1">
      <alignment wrapText="1"/>
    </xf>
    <xf numFmtId="2" fontId="3" fillId="0" borderId="0" xfId="0" applyNumberFormat="1" applyFont="1"/>
    <xf numFmtId="0" fontId="5" fillId="0" borderId="0" xfId="0" applyFont="1"/>
    <xf numFmtId="0" fontId="10" fillId="0" borderId="0" xfId="0" applyFont="1"/>
    <xf numFmtId="0" fontId="5" fillId="0" borderId="0" xfId="0" applyFont="1" applyBorder="1"/>
    <xf numFmtId="0" fontId="2" fillId="0" borderId="0" xfId="0" applyFont="1"/>
    <xf numFmtId="0" fontId="8" fillId="5" borderId="3" xfId="0" applyFont="1" applyFill="1" applyBorder="1" applyAlignment="1">
      <alignment horizontal="center" vertical="center" textRotation="90"/>
    </xf>
    <xf numFmtId="0" fontId="12" fillId="11" borderId="4" xfId="0" applyFont="1" applyFill="1" applyBorder="1" applyAlignment="1">
      <alignment horizontal="center" vertical="center"/>
    </xf>
    <xf numFmtId="0" fontId="12" fillId="11" borderId="5" xfId="0" applyFont="1" applyFill="1" applyBorder="1" applyAlignment="1">
      <alignment horizontal="center" vertical="center"/>
    </xf>
    <xf numFmtId="0" fontId="15" fillId="11" borderId="5" xfId="0" applyFont="1" applyFill="1" applyBorder="1" applyAlignment="1">
      <alignment vertical="center"/>
    </xf>
    <xf numFmtId="0" fontId="3" fillId="11" borderId="6" xfId="0" applyFont="1" applyFill="1" applyBorder="1"/>
    <xf numFmtId="0" fontId="12" fillId="11" borderId="5" xfId="0" applyFont="1" applyFill="1" applyBorder="1" applyAlignment="1">
      <alignment vertical="center"/>
    </xf>
    <xf numFmtId="2" fontId="5" fillId="3" borderId="7" xfId="2" applyNumberFormat="1" applyFont="1" applyFill="1"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11" borderId="9" xfId="0" applyFont="1" applyFill="1" applyBorder="1" applyAlignment="1">
      <alignment horizontal="center" vertical="center"/>
    </xf>
    <xf numFmtId="0" fontId="0" fillId="0" borderId="11" xfId="0" applyBorder="1" applyAlignment="1">
      <alignment horizontal="center" vertical="center"/>
    </xf>
    <xf numFmtId="2" fontId="5" fillId="3" borderId="12" xfId="2" applyNumberFormat="1" applyFont="1" applyFill="1" applyBorder="1" applyAlignment="1">
      <alignment horizontal="center" vertical="center"/>
    </xf>
    <xf numFmtId="2" fontId="11" fillId="11" borderId="9" xfId="1" applyNumberFormat="1" applyFont="1" applyFill="1" applyBorder="1" applyAlignment="1">
      <alignment horizontal="center" vertical="center"/>
    </xf>
    <xf numFmtId="0" fontId="11" fillId="11" borderId="2" xfId="0" applyFont="1" applyFill="1" applyBorder="1" applyAlignment="1">
      <alignment horizontal="center" vertical="center"/>
    </xf>
    <xf numFmtId="44" fontId="16" fillId="11" borderId="9" xfId="1" applyFont="1" applyFill="1" applyBorder="1" applyAlignment="1">
      <alignment horizontal="center" wrapText="1"/>
    </xf>
    <xf numFmtId="0" fontId="11" fillId="11" borderId="2" xfId="0" applyFont="1" applyFill="1" applyBorder="1" applyAlignment="1">
      <alignment horizontal="center" vertical="center" wrapText="1"/>
    </xf>
    <xf numFmtId="0" fontId="11" fillId="11" borderId="9" xfId="0" applyFont="1" applyFill="1" applyBorder="1" applyAlignment="1">
      <alignment horizontal="center" vertical="center" wrapText="1"/>
    </xf>
    <xf numFmtId="0" fontId="5" fillId="6" borderId="13" xfId="0" applyFont="1" applyFill="1" applyBorder="1" applyAlignment="1">
      <alignment horizontal="left" vertical="center" wrapText="1"/>
    </xf>
    <xf numFmtId="0" fontId="5" fillId="6" borderId="1" xfId="0" applyFont="1" applyFill="1" applyBorder="1" applyAlignment="1">
      <alignment horizontal="left" vertical="center" wrapText="1"/>
    </xf>
    <xf numFmtId="44" fontId="5" fillId="0" borderId="13" xfId="1" applyFont="1" applyFill="1" applyBorder="1" applyAlignment="1">
      <alignment horizontal="left" vertical="center" wrapText="1"/>
    </xf>
    <xf numFmtId="44" fontId="5" fillId="0" borderId="1" xfId="1" applyFont="1" applyFill="1" applyBorder="1" applyAlignment="1">
      <alignment horizontal="left" vertical="center" wrapText="1"/>
    </xf>
    <xf numFmtId="0" fontId="5" fillId="6" borderId="14" xfId="0" applyFont="1" applyFill="1" applyBorder="1" applyAlignment="1">
      <alignment horizontal="left" vertical="center" wrapText="1"/>
    </xf>
    <xf numFmtId="0" fontId="11" fillId="11" borderId="9" xfId="0" applyFont="1" applyFill="1" applyBorder="1" applyAlignment="1">
      <alignment horizontal="center" wrapText="1"/>
    </xf>
    <xf numFmtId="0" fontId="11" fillId="11" borderId="9" xfId="0" applyFont="1" applyFill="1" applyBorder="1" applyAlignment="1">
      <alignment horizontal="center"/>
    </xf>
    <xf numFmtId="0" fontId="3" fillId="11" borderId="9" xfId="0" applyFont="1" applyFill="1" applyBorder="1"/>
    <xf numFmtId="0" fontId="17" fillId="11" borderId="0" xfId="0" applyFont="1" applyFill="1" applyAlignment="1">
      <alignment horizontal="center" vertical="center"/>
    </xf>
    <xf numFmtId="2" fontId="17" fillId="11" borderId="0" xfId="0" applyNumberFormat="1" applyFont="1" applyFill="1" applyAlignment="1">
      <alignment horizontal="center" vertical="center"/>
    </xf>
    <xf numFmtId="44" fontId="17" fillId="11" borderId="0" xfId="0" applyNumberFormat="1" applyFont="1" applyFill="1" applyAlignment="1">
      <alignment horizontal="center" vertical="center" wrapText="1"/>
    </xf>
    <xf numFmtId="0" fontId="17" fillId="11" borderId="0" xfId="0" applyFont="1" applyFill="1" applyAlignment="1">
      <alignment horizontal="center" vertical="center" wrapText="1"/>
    </xf>
    <xf numFmtId="10" fontId="0" fillId="0" borderId="0" xfId="0" applyNumberFormat="1" applyFont="1"/>
    <xf numFmtId="10" fontId="3" fillId="0" borderId="0" xfId="3" applyNumberFormat="1" applyFont="1"/>
  </cellXfs>
  <cellStyles count="4">
    <cellStyle name="Moeda" xfId="1" builtinId="4"/>
    <cellStyle name="Normal" xfId="0" builtinId="0"/>
    <cellStyle name="Porcentagem" xfId="3" builtinId="5"/>
    <cellStyle name="Vírgula" xfId="2" builtinId="3"/>
  </cellStyles>
  <dxfs count="0"/>
  <tableStyles count="0" defaultTableStyle="TableStyleMedium9" defaultPivotStyle="PivotStyleLight16"/>
  <colors>
    <mruColors>
      <color rgb="FF008080"/>
      <color rgb="FF006666"/>
      <color rgb="FF0080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solidFill>
                  <a:schemeClr val="tx1"/>
                </a:solidFill>
              </a:defRPr>
            </a:pPr>
            <a:r>
              <a:rPr lang="en-US" sz="1800">
                <a:solidFill>
                  <a:schemeClr val="tx1"/>
                </a:solidFill>
              </a:rPr>
              <a:t>ANÁLISE</a:t>
            </a:r>
            <a:r>
              <a:rPr lang="en-US" sz="1800" baseline="0">
                <a:solidFill>
                  <a:schemeClr val="tx1"/>
                </a:solidFill>
              </a:rPr>
              <a:t> POR ÁREA</a:t>
            </a:r>
            <a:endParaRPr lang="en-US" sz="1800">
              <a:solidFill>
                <a:schemeClr val="tx1"/>
              </a:solidFill>
            </a:endParaRPr>
          </a:p>
        </c:rich>
      </c:tx>
      <c:layout>
        <c:manualLayout>
          <c:xMode val="edge"/>
          <c:yMode val="edge"/>
          <c:x val="0.46277028719574764"/>
          <c:y val="4.1025631559370883E-2"/>
        </c:manualLayout>
      </c:layout>
      <c:overlay val="0"/>
    </c:title>
    <c:autoTitleDeleted val="0"/>
    <c:plotArea>
      <c:layout>
        <c:manualLayout>
          <c:layoutTarget val="inner"/>
          <c:xMode val="edge"/>
          <c:yMode val="edge"/>
          <c:x val="1.833333573928296E-2"/>
          <c:y val="0.24133686998844245"/>
          <c:w val="0.96333332852143416"/>
          <c:h val="0.596888722243053"/>
        </c:manualLayout>
      </c:layout>
      <c:barChart>
        <c:barDir val="col"/>
        <c:grouping val="clustered"/>
        <c:varyColors val="0"/>
        <c:ser>
          <c:idx val="0"/>
          <c:order val="0"/>
          <c:spPr>
            <a:solidFill>
              <a:srgbClr val="008080"/>
            </a:solidFill>
            <a:scene3d>
              <a:camera prst="orthographicFront"/>
              <a:lightRig rig="threePt" dir="t"/>
            </a:scene3d>
            <a:sp3d>
              <a:bevelT/>
            </a:sp3d>
          </c:spPr>
          <c:invertIfNegative val="0"/>
          <c:dLbls>
            <c:txPr>
              <a:bodyPr/>
              <a:lstStyle/>
              <a:p>
                <a:pPr>
                  <a:defRPr sz="1600" b="1">
                    <a:solidFill>
                      <a:schemeClr val="tx1"/>
                    </a:solidFill>
                  </a:defRPr>
                </a:pPr>
                <a:endParaRPr lang="pt-BR"/>
              </a:p>
            </c:txPr>
            <c:showLegendKey val="0"/>
            <c:showVal val="1"/>
            <c:showCatName val="0"/>
            <c:showSerName val="0"/>
            <c:showPercent val="0"/>
            <c:showBubbleSize val="0"/>
            <c:showLeaderLines val="0"/>
          </c:dLbls>
          <c:cat>
            <c:strRef>
              <c:f>Cadastro!$B$4:$B$8</c:f>
              <c:strCache>
                <c:ptCount val="5"/>
                <c:pt idx="0">
                  <c:v>ESTRATÉGIA</c:v>
                </c:pt>
                <c:pt idx="1">
                  <c:v>FINANÇAS</c:v>
                </c:pt>
                <c:pt idx="2">
                  <c:v>MARKETING</c:v>
                </c:pt>
                <c:pt idx="3">
                  <c:v>OPERAÇÕES</c:v>
                </c:pt>
                <c:pt idx="4">
                  <c:v>RH</c:v>
                </c:pt>
              </c:strCache>
            </c:strRef>
          </c:cat>
          <c:val>
            <c:numRef>
              <c:f>Cadastro!$C$4:$C$8</c:f>
              <c:numCache>
                <c:formatCode>0.00</c:formatCode>
                <c:ptCount val="5"/>
                <c:pt idx="0">
                  <c:v>9.98</c:v>
                </c:pt>
                <c:pt idx="1">
                  <c:v>11.64</c:v>
                </c:pt>
                <c:pt idx="2">
                  <c:v>11.64</c:v>
                </c:pt>
                <c:pt idx="3">
                  <c:v>13.32</c:v>
                </c:pt>
                <c:pt idx="4">
                  <c:v>6.64</c:v>
                </c:pt>
              </c:numCache>
            </c:numRef>
          </c:val>
        </c:ser>
        <c:dLbls>
          <c:showLegendKey val="0"/>
          <c:showVal val="1"/>
          <c:showCatName val="0"/>
          <c:showSerName val="0"/>
          <c:showPercent val="0"/>
          <c:showBubbleSize val="0"/>
        </c:dLbls>
        <c:gapWidth val="150"/>
        <c:overlap val="-3"/>
        <c:axId val="153505792"/>
        <c:axId val="153507328"/>
      </c:barChart>
      <c:catAx>
        <c:axId val="153505792"/>
        <c:scaling>
          <c:orientation val="minMax"/>
        </c:scaling>
        <c:delete val="0"/>
        <c:axPos val="b"/>
        <c:numFmt formatCode="General" sourceLinked="1"/>
        <c:majorTickMark val="out"/>
        <c:minorTickMark val="none"/>
        <c:tickLblPos val="nextTo"/>
        <c:txPr>
          <a:bodyPr/>
          <a:lstStyle/>
          <a:p>
            <a:pPr>
              <a:defRPr sz="1400" b="1">
                <a:solidFill>
                  <a:schemeClr val="tx1"/>
                </a:solidFill>
              </a:defRPr>
            </a:pPr>
            <a:endParaRPr lang="pt-BR"/>
          </a:p>
        </c:txPr>
        <c:crossAx val="153507328"/>
        <c:crosses val="autoZero"/>
        <c:auto val="1"/>
        <c:lblAlgn val="ctr"/>
        <c:lblOffset val="100"/>
        <c:noMultiLvlLbl val="0"/>
      </c:catAx>
      <c:valAx>
        <c:axId val="153507328"/>
        <c:scaling>
          <c:orientation val="minMax"/>
        </c:scaling>
        <c:delete val="1"/>
        <c:axPos val="l"/>
        <c:numFmt formatCode="0.00" sourceLinked="1"/>
        <c:majorTickMark val="out"/>
        <c:minorTickMark val="none"/>
        <c:tickLblPos val="none"/>
        <c:crossAx val="153505792"/>
        <c:crosses val="autoZero"/>
        <c:crossBetween val="between"/>
      </c:valAx>
      <c:spPr>
        <a:noFill/>
        <a:ln w="25400">
          <a:noFill/>
        </a:ln>
        <a:scene3d>
          <a:camera prst="orthographicFront"/>
          <a:lightRig rig="threePt" dir="t"/>
        </a:scene3d>
        <a:sp3d>
          <a:bevelT/>
        </a:sp3d>
      </c:spPr>
    </c:plotArea>
    <c:plotVisOnly val="1"/>
    <c:dispBlanksAs val="gap"/>
    <c:showDLblsOverMax val="0"/>
  </c:chart>
  <c:spPr>
    <a:solidFill>
      <a:schemeClr val="bg1"/>
    </a:solidFill>
  </c:spPr>
  <c:printSettings>
    <c:headerFooter/>
    <c:pageMargins b="0.78740157499999996" l="0.511811024" r="0.511811024" t="0.78740157499999996" header="0.31496062000000113" footer="0.3149606200000011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Atual</a:t>
            </a:r>
            <a:r>
              <a:rPr lang="pt-BR" baseline="0"/>
              <a:t> Situação</a:t>
            </a:r>
            <a:endParaRPr lang="pt-BR"/>
          </a:p>
        </c:rich>
      </c:tx>
      <c:layout/>
      <c:overlay val="0"/>
    </c:title>
    <c:autoTitleDeleted val="0"/>
    <c:view3D>
      <c:rotX val="30"/>
      <c:rotY val="0"/>
      <c:rAngAx val="0"/>
      <c:perspective val="30"/>
    </c:view3D>
    <c:floor>
      <c:thickness val="0"/>
    </c:floor>
    <c:sideWall>
      <c:thickness val="0"/>
    </c:sideWall>
    <c:backWall>
      <c:thickness val="0"/>
    </c:backWall>
    <c:plotArea>
      <c:layout/>
      <c:pie3DChart>
        <c:varyColors val="1"/>
        <c:ser>
          <c:idx val="0"/>
          <c:order val="0"/>
          <c:explosion val="25"/>
          <c:dPt>
            <c:idx val="0"/>
            <c:bubble3D val="0"/>
            <c:spPr>
              <a:solidFill>
                <a:schemeClr val="accent1"/>
              </a:solidFill>
            </c:spPr>
          </c:dPt>
          <c:dPt>
            <c:idx val="1"/>
            <c:bubble3D val="0"/>
            <c:spPr>
              <a:solidFill>
                <a:schemeClr val="accent2"/>
              </a:solidFill>
            </c:spPr>
          </c:dPt>
          <c:dLbls>
            <c:txPr>
              <a:bodyPr/>
              <a:lstStyle/>
              <a:p>
                <a:pPr>
                  <a:defRPr sz="1050" b="1">
                    <a:solidFill>
                      <a:schemeClr val="tx1"/>
                    </a:solidFill>
                  </a:defRPr>
                </a:pPr>
                <a:endParaRPr lang="pt-BR"/>
              </a:p>
            </c:txPr>
            <c:dLblPos val="outEnd"/>
            <c:showLegendKey val="0"/>
            <c:showVal val="1"/>
            <c:showCatName val="0"/>
            <c:showSerName val="0"/>
            <c:showPercent val="0"/>
            <c:showBubbleSize val="0"/>
            <c:showLeaderLines val="1"/>
          </c:dLbls>
          <c:cat>
            <c:strRef>
              <c:f>Panorama!$D$8:$D$9</c:f>
              <c:strCache>
                <c:ptCount val="2"/>
                <c:pt idx="0">
                  <c:v>Oportunidade de melhoria</c:v>
                </c:pt>
                <c:pt idx="1">
                  <c:v>NOTA</c:v>
                </c:pt>
              </c:strCache>
            </c:strRef>
          </c:cat>
          <c:val>
            <c:numRef>
              <c:f>Panorama!$F$8:$F$9</c:f>
              <c:numCache>
                <c:formatCode>0.00%</c:formatCode>
                <c:ptCount val="2"/>
                <c:pt idx="0">
                  <c:v>0.46779999999999994</c:v>
                </c:pt>
                <c:pt idx="1">
                  <c:v>0.53220000000000001</c:v>
                </c:pt>
              </c:numCache>
            </c:numRef>
          </c:val>
        </c:ser>
        <c:dLbls>
          <c:showLegendKey val="0"/>
          <c:showVal val="0"/>
          <c:showCatName val="0"/>
          <c:showSerName val="0"/>
          <c:showPercent val="0"/>
          <c:showBubbleSize val="0"/>
          <c:showLeaderLines val="1"/>
        </c:dLbls>
      </c:pie3DChart>
    </c:plotArea>
    <c:legend>
      <c:legendPos val="b"/>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Finan&#231;as!A1"/><Relationship Id="rId13" Type="http://schemas.openxmlformats.org/officeDocument/2006/relationships/hyperlink" Target="#Marketing!A1"/><Relationship Id="rId3" Type="http://schemas.openxmlformats.org/officeDocument/2006/relationships/hyperlink" Target="#An&#225;lise!A1"/><Relationship Id="rId7" Type="http://schemas.openxmlformats.org/officeDocument/2006/relationships/hyperlink" Target="#Estrat&#233;gia!A1"/><Relationship Id="rId12" Type="http://schemas.openxmlformats.org/officeDocument/2006/relationships/hyperlink" Target="#'Perguntas e Respostas'!A1"/><Relationship Id="rId2" Type="http://schemas.openxmlformats.org/officeDocument/2006/relationships/image" Target="../media/image1.png"/><Relationship Id="rId1" Type="http://schemas.openxmlformats.org/officeDocument/2006/relationships/hyperlink" Target="http://www.acelere.vc" TargetMode="External"/><Relationship Id="rId6" Type="http://schemas.openxmlformats.org/officeDocument/2006/relationships/hyperlink" Target="#'Fatores Internos'!A1"/><Relationship Id="rId11" Type="http://schemas.openxmlformats.org/officeDocument/2006/relationships/hyperlink" Target="#Panorama!A1"/><Relationship Id="rId5" Type="http://schemas.openxmlformats.org/officeDocument/2006/relationships/hyperlink" Target="#Cadastro!A1"/><Relationship Id="rId10" Type="http://schemas.openxmlformats.org/officeDocument/2006/relationships/hyperlink" Target="#'Recursos Humanos'!A1"/><Relationship Id="rId4" Type="http://schemas.openxmlformats.org/officeDocument/2006/relationships/image" Target="../media/image2.png"/><Relationship Id="rId9" Type="http://schemas.openxmlformats.org/officeDocument/2006/relationships/hyperlink" Target="#Opera&#231;&#245;es!A1"/></Relationships>
</file>

<file path=xl/drawings/_rels/drawing2.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hyperlink" Target="http://www.acelere.vc" TargetMode="External"/><Relationship Id="rId2" Type="http://schemas.openxmlformats.org/officeDocument/2006/relationships/image" Target="../media/image3.png"/><Relationship Id="rId1" Type="http://schemas.openxmlformats.org/officeDocument/2006/relationships/hyperlink" Target="#In&#237;cio!A1"/><Relationship Id="rId4"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www.acelere.vc" TargetMode="Externa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hyperlink" Target="#In&#237;cio!A1"/><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18</xdr:col>
      <xdr:colOff>466725</xdr:colOff>
      <xdr:row>0</xdr:row>
      <xdr:rowOff>0</xdr:rowOff>
    </xdr:from>
    <xdr:to>
      <xdr:col>20</xdr:col>
      <xdr:colOff>447675</xdr:colOff>
      <xdr:row>1</xdr:row>
      <xdr:rowOff>19049</xdr:rowOff>
    </xdr:to>
    <xdr:pic>
      <xdr:nvPicPr>
        <xdr:cNvPr id="12" name="Imagem 1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53800" y="0"/>
          <a:ext cx="1200150" cy="476249"/>
        </a:xfrm>
        <a:prstGeom prst="rect">
          <a:avLst/>
        </a:prstGeom>
      </xdr:spPr>
    </xdr:pic>
    <xdr:clientData/>
  </xdr:twoCellAnchor>
  <xdr:twoCellAnchor>
    <xdr:from>
      <xdr:col>4</xdr:col>
      <xdr:colOff>495300</xdr:colOff>
      <xdr:row>3</xdr:row>
      <xdr:rowOff>19050</xdr:rowOff>
    </xdr:from>
    <xdr:to>
      <xdr:col>7</xdr:col>
      <xdr:colOff>561975</xdr:colOff>
      <xdr:row>5</xdr:row>
      <xdr:rowOff>177088</xdr:rowOff>
    </xdr:to>
    <xdr:grpSp>
      <xdr:nvGrpSpPr>
        <xdr:cNvPr id="13" name="Grupo 12">
          <a:hlinkClick xmlns:r="http://schemas.openxmlformats.org/officeDocument/2006/relationships" r:id="rId3"/>
        </xdr:cNvPr>
        <xdr:cNvGrpSpPr/>
      </xdr:nvGrpSpPr>
      <xdr:grpSpPr>
        <a:xfrm>
          <a:off x="2847975" y="857250"/>
          <a:ext cx="1895475" cy="539038"/>
          <a:chOff x="285750" y="2400300"/>
          <a:chExt cx="1895475" cy="539038"/>
        </a:xfrm>
      </xdr:grpSpPr>
      <xdr:pic>
        <xdr:nvPicPr>
          <xdr:cNvPr id="14" name="Imagem 1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5" name="CaixaDeTexto 14">
            <a:hlinkClick xmlns:r="http://schemas.openxmlformats.org/officeDocument/2006/relationships" r:id="rId5"/>
          </xdr:cNvPr>
          <xdr:cNvSpPr txBox="1"/>
        </xdr:nvSpPr>
        <xdr:spPr>
          <a:xfrm>
            <a:off x="542925" y="2524125"/>
            <a:ext cx="139064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CADASTRO</a:t>
            </a:r>
          </a:p>
        </xdr:txBody>
      </xdr:sp>
    </xdr:grpSp>
    <xdr:clientData/>
  </xdr:twoCellAnchor>
  <xdr:twoCellAnchor>
    <xdr:from>
      <xdr:col>2</xdr:col>
      <xdr:colOff>533400</xdr:colOff>
      <xdr:row>9</xdr:row>
      <xdr:rowOff>152400</xdr:rowOff>
    </xdr:from>
    <xdr:to>
      <xdr:col>5</xdr:col>
      <xdr:colOff>600075</xdr:colOff>
      <xdr:row>12</xdr:row>
      <xdr:rowOff>119938</xdr:rowOff>
    </xdr:to>
    <xdr:grpSp>
      <xdr:nvGrpSpPr>
        <xdr:cNvPr id="20" name="Grupo 19">
          <a:hlinkClick xmlns:r="http://schemas.openxmlformats.org/officeDocument/2006/relationships" r:id="rId6"/>
        </xdr:cNvPr>
        <xdr:cNvGrpSpPr/>
      </xdr:nvGrpSpPr>
      <xdr:grpSpPr>
        <a:xfrm>
          <a:off x="1666875" y="2133600"/>
          <a:ext cx="1895475" cy="539038"/>
          <a:chOff x="285750" y="2400300"/>
          <a:chExt cx="1895475" cy="539038"/>
        </a:xfrm>
      </xdr:grpSpPr>
      <xdr:pic>
        <xdr:nvPicPr>
          <xdr:cNvPr id="21" name="Imagem 20"/>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2" name="CaixaDeTexto 21">
            <a:hlinkClick xmlns:r="http://schemas.openxmlformats.org/officeDocument/2006/relationships" r:id="rId7"/>
          </xdr:cNvPr>
          <xdr:cNvSpPr txBox="1"/>
        </xdr:nvSpPr>
        <xdr:spPr>
          <a:xfrm>
            <a:off x="419100" y="2524125"/>
            <a:ext cx="163829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ESTRATÉGIA</a:t>
            </a:r>
          </a:p>
        </xdr:txBody>
      </xdr:sp>
    </xdr:grpSp>
    <xdr:clientData/>
  </xdr:twoCellAnchor>
  <xdr:twoCellAnchor>
    <xdr:from>
      <xdr:col>8</xdr:col>
      <xdr:colOff>371475</xdr:colOff>
      <xdr:row>10</xdr:row>
      <xdr:rowOff>19050</xdr:rowOff>
    </xdr:from>
    <xdr:to>
      <xdr:col>11</xdr:col>
      <xdr:colOff>438150</xdr:colOff>
      <xdr:row>12</xdr:row>
      <xdr:rowOff>177088</xdr:rowOff>
    </xdr:to>
    <xdr:grpSp>
      <xdr:nvGrpSpPr>
        <xdr:cNvPr id="26" name="Grupo 25">
          <a:hlinkClick xmlns:r="http://schemas.openxmlformats.org/officeDocument/2006/relationships" r:id="rId8"/>
        </xdr:cNvPr>
        <xdr:cNvGrpSpPr/>
      </xdr:nvGrpSpPr>
      <xdr:grpSpPr>
        <a:xfrm>
          <a:off x="5162550" y="2190750"/>
          <a:ext cx="1895475" cy="539038"/>
          <a:chOff x="285750" y="2400300"/>
          <a:chExt cx="1895475" cy="539038"/>
        </a:xfrm>
      </xdr:grpSpPr>
      <xdr:pic>
        <xdr:nvPicPr>
          <xdr:cNvPr id="27" name="Imagem 26"/>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8" name="CaixaDeTexto 27">
            <a:hlinkClick xmlns:r="http://schemas.openxmlformats.org/officeDocument/2006/relationships" r:id="rId8"/>
          </xdr:cNvPr>
          <xdr:cNvSpPr txBox="1"/>
        </xdr:nvSpPr>
        <xdr:spPr>
          <a:xfrm>
            <a:off x="542925" y="2524125"/>
            <a:ext cx="139064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FINANÇAS</a:t>
            </a:r>
          </a:p>
        </xdr:txBody>
      </xdr:sp>
    </xdr:grpSp>
    <xdr:clientData/>
  </xdr:twoCellAnchor>
  <xdr:twoCellAnchor>
    <xdr:from>
      <xdr:col>2</xdr:col>
      <xdr:colOff>438150</xdr:colOff>
      <xdr:row>15</xdr:row>
      <xdr:rowOff>171450</xdr:rowOff>
    </xdr:from>
    <xdr:to>
      <xdr:col>5</xdr:col>
      <xdr:colOff>504825</xdr:colOff>
      <xdr:row>18</xdr:row>
      <xdr:rowOff>138988</xdr:rowOff>
    </xdr:to>
    <xdr:grpSp>
      <xdr:nvGrpSpPr>
        <xdr:cNvPr id="29" name="Grupo 28">
          <a:hlinkClick xmlns:r="http://schemas.openxmlformats.org/officeDocument/2006/relationships" r:id="rId6"/>
        </xdr:cNvPr>
        <xdr:cNvGrpSpPr/>
      </xdr:nvGrpSpPr>
      <xdr:grpSpPr>
        <a:xfrm>
          <a:off x="1571625" y="3295650"/>
          <a:ext cx="1895475" cy="539038"/>
          <a:chOff x="285750" y="2400300"/>
          <a:chExt cx="1895475" cy="539038"/>
        </a:xfrm>
      </xdr:grpSpPr>
      <xdr:pic>
        <xdr:nvPicPr>
          <xdr:cNvPr id="30" name="Imagem 2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1" name="CaixaDeTexto 30">
            <a:hlinkClick xmlns:r="http://schemas.openxmlformats.org/officeDocument/2006/relationships" r:id="rId9"/>
          </xdr:cNvPr>
          <xdr:cNvSpPr txBox="1"/>
        </xdr:nvSpPr>
        <xdr:spPr>
          <a:xfrm>
            <a:off x="419100" y="2524125"/>
            <a:ext cx="163829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OPERAÇÕES</a:t>
            </a:r>
          </a:p>
        </xdr:txBody>
      </xdr:sp>
    </xdr:grpSp>
    <xdr:clientData/>
  </xdr:twoCellAnchor>
  <xdr:twoCellAnchor>
    <xdr:from>
      <xdr:col>8</xdr:col>
      <xdr:colOff>257175</xdr:colOff>
      <xdr:row>15</xdr:row>
      <xdr:rowOff>152400</xdr:rowOff>
    </xdr:from>
    <xdr:to>
      <xdr:col>11</xdr:col>
      <xdr:colOff>323850</xdr:colOff>
      <xdr:row>18</xdr:row>
      <xdr:rowOff>119938</xdr:rowOff>
    </xdr:to>
    <xdr:grpSp>
      <xdr:nvGrpSpPr>
        <xdr:cNvPr id="32" name="Grupo 31">
          <a:hlinkClick xmlns:r="http://schemas.openxmlformats.org/officeDocument/2006/relationships" r:id="rId3"/>
        </xdr:cNvPr>
        <xdr:cNvGrpSpPr/>
      </xdr:nvGrpSpPr>
      <xdr:grpSpPr>
        <a:xfrm>
          <a:off x="5048250" y="3276600"/>
          <a:ext cx="1895475" cy="539038"/>
          <a:chOff x="285750" y="2400300"/>
          <a:chExt cx="1895475" cy="539038"/>
        </a:xfrm>
      </xdr:grpSpPr>
      <xdr:pic>
        <xdr:nvPicPr>
          <xdr:cNvPr id="33" name="Imagem 32"/>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4" name="CaixaDeTexto 33">
            <a:hlinkClick xmlns:r="http://schemas.openxmlformats.org/officeDocument/2006/relationships" r:id="rId10"/>
          </xdr:cNvPr>
          <xdr:cNvSpPr txBox="1"/>
        </xdr:nvSpPr>
        <xdr:spPr>
          <a:xfrm>
            <a:off x="400050" y="2524125"/>
            <a:ext cx="16859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RECURSOS HUMANOS</a:t>
            </a:r>
          </a:p>
        </xdr:txBody>
      </xdr:sp>
    </xdr:grpSp>
    <xdr:clientData/>
  </xdr:twoCellAnchor>
  <xdr:twoCellAnchor>
    <xdr:from>
      <xdr:col>14</xdr:col>
      <xdr:colOff>266700</xdr:colOff>
      <xdr:row>16</xdr:row>
      <xdr:rowOff>0</xdr:rowOff>
    </xdr:from>
    <xdr:to>
      <xdr:col>17</xdr:col>
      <xdr:colOff>333375</xdr:colOff>
      <xdr:row>18</xdr:row>
      <xdr:rowOff>158038</xdr:rowOff>
    </xdr:to>
    <xdr:grpSp>
      <xdr:nvGrpSpPr>
        <xdr:cNvPr id="35" name="Grupo 34">
          <a:hlinkClick xmlns:r="http://schemas.openxmlformats.org/officeDocument/2006/relationships" r:id="rId3"/>
        </xdr:cNvPr>
        <xdr:cNvGrpSpPr/>
      </xdr:nvGrpSpPr>
      <xdr:grpSpPr>
        <a:xfrm>
          <a:off x="8715375" y="3314700"/>
          <a:ext cx="1895475" cy="539038"/>
          <a:chOff x="285750" y="2400300"/>
          <a:chExt cx="1895475" cy="539038"/>
        </a:xfrm>
      </xdr:grpSpPr>
      <xdr:pic>
        <xdr:nvPicPr>
          <xdr:cNvPr id="36" name="Imagem 35"/>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7" name="CaixaDeTexto 36">
            <a:hlinkClick xmlns:r="http://schemas.openxmlformats.org/officeDocument/2006/relationships" r:id="rId11"/>
          </xdr:cNvPr>
          <xdr:cNvSpPr txBox="1"/>
        </xdr:nvSpPr>
        <xdr:spPr>
          <a:xfrm>
            <a:off x="400050" y="2524125"/>
            <a:ext cx="16859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PANORAMA</a:t>
            </a:r>
          </a:p>
        </xdr:txBody>
      </xdr:sp>
    </xdr:grpSp>
    <xdr:clientData/>
  </xdr:twoCellAnchor>
  <xdr:twoCellAnchor>
    <xdr:from>
      <xdr:col>12</xdr:col>
      <xdr:colOff>152400</xdr:colOff>
      <xdr:row>3</xdr:row>
      <xdr:rowOff>57150</xdr:rowOff>
    </xdr:from>
    <xdr:to>
      <xdr:col>15</xdr:col>
      <xdr:colOff>219075</xdr:colOff>
      <xdr:row>6</xdr:row>
      <xdr:rowOff>24688</xdr:rowOff>
    </xdr:to>
    <xdr:grpSp>
      <xdr:nvGrpSpPr>
        <xdr:cNvPr id="38" name="Grupo 37">
          <a:hlinkClick xmlns:r="http://schemas.openxmlformats.org/officeDocument/2006/relationships" r:id="rId3"/>
        </xdr:cNvPr>
        <xdr:cNvGrpSpPr/>
      </xdr:nvGrpSpPr>
      <xdr:grpSpPr>
        <a:xfrm>
          <a:off x="7381875" y="895350"/>
          <a:ext cx="1895475" cy="539038"/>
          <a:chOff x="285750" y="2400300"/>
          <a:chExt cx="1895475" cy="539038"/>
        </a:xfrm>
      </xdr:grpSpPr>
      <xdr:pic>
        <xdr:nvPicPr>
          <xdr:cNvPr id="39" name="Imagem 38"/>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0" name="CaixaDeTexto 39">
            <a:hlinkClick xmlns:r="http://schemas.openxmlformats.org/officeDocument/2006/relationships" r:id="rId12"/>
          </xdr:cNvPr>
          <xdr:cNvSpPr txBox="1"/>
        </xdr:nvSpPr>
        <xdr:spPr>
          <a:xfrm>
            <a:off x="371474" y="2524125"/>
            <a:ext cx="17145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PERGUNTAS</a:t>
            </a:r>
          </a:p>
        </xdr:txBody>
      </xdr:sp>
    </xdr:grpSp>
    <xdr:clientData/>
  </xdr:twoCellAnchor>
  <xdr:twoCellAnchor>
    <xdr:from>
      <xdr:col>14</xdr:col>
      <xdr:colOff>342900</xdr:colOff>
      <xdr:row>9</xdr:row>
      <xdr:rowOff>171450</xdr:rowOff>
    </xdr:from>
    <xdr:to>
      <xdr:col>17</xdr:col>
      <xdr:colOff>409575</xdr:colOff>
      <xdr:row>12</xdr:row>
      <xdr:rowOff>138988</xdr:rowOff>
    </xdr:to>
    <xdr:grpSp>
      <xdr:nvGrpSpPr>
        <xdr:cNvPr id="41" name="Grupo 40">
          <a:hlinkClick xmlns:r="http://schemas.openxmlformats.org/officeDocument/2006/relationships" r:id="rId3"/>
        </xdr:cNvPr>
        <xdr:cNvGrpSpPr/>
      </xdr:nvGrpSpPr>
      <xdr:grpSpPr>
        <a:xfrm>
          <a:off x="8791575" y="2152650"/>
          <a:ext cx="1895475" cy="539038"/>
          <a:chOff x="285750" y="2400300"/>
          <a:chExt cx="1895475" cy="539038"/>
        </a:xfrm>
      </xdr:grpSpPr>
      <xdr:pic>
        <xdr:nvPicPr>
          <xdr:cNvPr id="42" name="Imagem 41"/>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85750" y="2400300"/>
            <a:ext cx="1895475" cy="53903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3" name="CaixaDeTexto 42">
            <a:hlinkClick xmlns:r="http://schemas.openxmlformats.org/officeDocument/2006/relationships" r:id="rId13"/>
          </xdr:cNvPr>
          <xdr:cNvSpPr txBox="1"/>
        </xdr:nvSpPr>
        <xdr:spPr>
          <a:xfrm>
            <a:off x="400050" y="2524125"/>
            <a:ext cx="16859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300" i="1" u="sng">
                <a:solidFill>
                  <a:schemeClr val="bg1"/>
                </a:solidFill>
              </a:rPr>
              <a:t>MARKETING</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1</xdr:col>
      <xdr:colOff>295275</xdr:colOff>
      <xdr:row>0</xdr:row>
      <xdr:rowOff>396724</xdr:rowOff>
    </xdr:to>
    <xdr:pic>
      <xdr:nvPicPr>
        <xdr:cNvPr id="5" name="Imagem 4">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6675"/>
          <a:ext cx="561975" cy="330049"/>
        </a:xfrm>
        <a:prstGeom prst="rect">
          <a:avLst/>
        </a:prstGeom>
      </xdr:spPr>
    </xdr:pic>
    <xdr:clientData/>
  </xdr:twoCellAnchor>
  <xdr:twoCellAnchor editAs="oneCell">
    <xdr:from>
      <xdr:col>9</xdr:col>
      <xdr:colOff>152400</xdr:colOff>
      <xdr:row>0</xdr:row>
      <xdr:rowOff>0</xdr:rowOff>
    </xdr:from>
    <xdr:to>
      <xdr:col>11</xdr:col>
      <xdr:colOff>133350</xdr:colOff>
      <xdr:row>1</xdr:row>
      <xdr:rowOff>19049</xdr:rowOff>
    </xdr:to>
    <xdr:pic>
      <xdr:nvPicPr>
        <xdr:cNvPr id="6" name="Imagem 5">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5700" y="0"/>
          <a:ext cx="1200150" cy="476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8</xdr:row>
      <xdr:rowOff>142875</xdr:rowOff>
    </xdr:from>
    <xdr:to>
      <xdr:col>0</xdr:col>
      <xdr:colOff>409575</xdr:colOff>
      <xdr:row>8</xdr:row>
      <xdr:rowOff>609600</xdr:rowOff>
    </xdr:to>
    <xdr:sp macro="[0]!Desce1" textlink="">
      <xdr:nvSpPr>
        <xdr:cNvPr id="2" name="Seta para baixo 1"/>
        <xdr:cNvSpPr/>
      </xdr:nvSpPr>
      <xdr:spPr>
        <a:xfrm>
          <a:off x="104775" y="331470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95250</xdr:colOff>
      <xdr:row>16</xdr:row>
      <xdr:rowOff>142875</xdr:rowOff>
    </xdr:from>
    <xdr:to>
      <xdr:col>0</xdr:col>
      <xdr:colOff>400050</xdr:colOff>
      <xdr:row>16</xdr:row>
      <xdr:rowOff>609600</xdr:rowOff>
    </xdr:to>
    <xdr:sp macro="[0]!Desce2" textlink="">
      <xdr:nvSpPr>
        <xdr:cNvPr id="5" name="Seta para baixo 4"/>
        <xdr:cNvSpPr/>
      </xdr:nvSpPr>
      <xdr:spPr>
        <a:xfrm>
          <a:off x="95250" y="765810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95250</xdr:colOff>
      <xdr:row>24</xdr:row>
      <xdr:rowOff>180975</xdr:rowOff>
    </xdr:from>
    <xdr:to>
      <xdr:col>0</xdr:col>
      <xdr:colOff>400050</xdr:colOff>
      <xdr:row>24</xdr:row>
      <xdr:rowOff>647700</xdr:rowOff>
    </xdr:to>
    <xdr:sp macro="[0]!Desce3" textlink="">
      <xdr:nvSpPr>
        <xdr:cNvPr id="6" name="Seta para baixo 5"/>
        <xdr:cNvSpPr/>
      </xdr:nvSpPr>
      <xdr:spPr>
        <a:xfrm>
          <a:off x="95250" y="12144375"/>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104775</xdr:colOff>
      <xdr:row>32</xdr:row>
      <xdr:rowOff>238125</xdr:rowOff>
    </xdr:from>
    <xdr:to>
      <xdr:col>0</xdr:col>
      <xdr:colOff>409575</xdr:colOff>
      <xdr:row>32</xdr:row>
      <xdr:rowOff>704850</xdr:rowOff>
    </xdr:to>
    <xdr:sp macro="[0]!Desce4" textlink="">
      <xdr:nvSpPr>
        <xdr:cNvPr id="7" name="Seta para baixo 6"/>
        <xdr:cNvSpPr/>
      </xdr:nvSpPr>
      <xdr:spPr>
        <a:xfrm>
          <a:off x="104775" y="1664970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104775</xdr:colOff>
      <xdr:row>36</xdr:row>
      <xdr:rowOff>190500</xdr:rowOff>
    </xdr:from>
    <xdr:to>
      <xdr:col>0</xdr:col>
      <xdr:colOff>409575</xdr:colOff>
      <xdr:row>36</xdr:row>
      <xdr:rowOff>657225</xdr:rowOff>
    </xdr:to>
    <xdr:sp macro="[0]!Sobe1" textlink="">
      <xdr:nvSpPr>
        <xdr:cNvPr id="9" name="Seta para baixo 8"/>
        <xdr:cNvSpPr/>
      </xdr:nvSpPr>
      <xdr:spPr>
        <a:xfrm rot="10800000">
          <a:off x="104775" y="17821275"/>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123825</xdr:colOff>
      <xdr:row>28</xdr:row>
      <xdr:rowOff>171450</xdr:rowOff>
    </xdr:from>
    <xdr:to>
      <xdr:col>0</xdr:col>
      <xdr:colOff>428625</xdr:colOff>
      <xdr:row>28</xdr:row>
      <xdr:rowOff>638175</xdr:rowOff>
    </xdr:to>
    <xdr:sp macro="[0]!Sobe2" textlink="">
      <xdr:nvSpPr>
        <xdr:cNvPr id="10" name="Seta para baixo 9"/>
        <xdr:cNvSpPr/>
      </xdr:nvSpPr>
      <xdr:spPr>
        <a:xfrm rot="10800000">
          <a:off x="123825" y="13458825"/>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114300</xdr:colOff>
      <xdr:row>20</xdr:row>
      <xdr:rowOff>152400</xdr:rowOff>
    </xdr:from>
    <xdr:to>
      <xdr:col>0</xdr:col>
      <xdr:colOff>419100</xdr:colOff>
      <xdr:row>20</xdr:row>
      <xdr:rowOff>619125</xdr:rowOff>
    </xdr:to>
    <xdr:sp macro="[0]!Sobe3" textlink="">
      <xdr:nvSpPr>
        <xdr:cNvPr id="11" name="Seta para baixo 10"/>
        <xdr:cNvSpPr/>
      </xdr:nvSpPr>
      <xdr:spPr>
        <a:xfrm rot="10800000">
          <a:off x="114300" y="899160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114300</xdr:colOff>
      <xdr:row>12</xdr:row>
      <xdr:rowOff>123825</xdr:rowOff>
    </xdr:from>
    <xdr:to>
      <xdr:col>0</xdr:col>
      <xdr:colOff>419100</xdr:colOff>
      <xdr:row>12</xdr:row>
      <xdr:rowOff>590550</xdr:rowOff>
    </xdr:to>
    <xdr:sp macro="[0]!Sobe4" textlink="">
      <xdr:nvSpPr>
        <xdr:cNvPr id="12" name="Seta para baixo 11"/>
        <xdr:cNvSpPr/>
      </xdr:nvSpPr>
      <xdr:spPr>
        <a:xfrm rot="10800000">
          <a:off x="114300" y="451485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76200</xdr:colOff>
      <xdr:row>5</xdr:row>
      <xdr:rowOff>114300</xdr:rowOff>
    </xdr:from>
    <xdr:to>
      <xdr:col>0</xdr:col>
      <xdr:colOff>504825</xdr:colOff>
      <xdr:row>5</xdr:row>
      <xdr:rowOff>600075</xdr:rowOff>
    </xdr:to>
    <xdr:sp macro="[0]!DesceTudo" textlink="">
      <xdr:nvSpPr>
        <xdr:cNvPr id="13" name="Seta para baixo 12"/>
        <xdr:cNvSpPr/>
      </xdr:nvSpPr>
      <xdr:spPr>
        <a:xfrm>
          <a:off x="76200" y="942975"/>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66675</xdr:colOff>
      <xdr:row>40</xdr:row>
      <xdr:rowOff>133350</xdr:rowOff>
    </xdr:from>
    <xdr:to>
      <xdr:col>0</xdr:col>
      <xdr:colOff>495300</xdr:colOff>
      <xdr:row>40</xdr:row>
      <xdr:rowOff>619125</xdr:rowOff>
    </xdr:to>
    <xdr:sp macro="[0]!SobeTudo" textlink="">
      <xdr:nvSpPr>
        <xdr:cNvPr id="14" name="Seta para baixo 13"/>
        <xdr:cNvSpPr/>
      </xdr:nvSpPr>
      <xdr:spPr>
        <a:xfrm rot="10800000">
          <a:off x="66675" y="20888325"/>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1062038</xdr:colOff>
      <xdr:row>1</xdr:row>
      <xdr:rowOff>61914</xdr:rowOff>
    </xdr:from>
    <xdr:to>
      <xdr:col>5</xdr:col>
      <xdr:colOff>1528763</xdr:colOff>
      <xdr:row>3</xdr:row>
      <xdr:rowOff>100014</xdr:rowOff>
    </xdr:to>
    <xdr:sp macro="[0]!Direita1" textlink="">
      <xdr:nvSpPr>
        <xdr:cNvPr id="15" name="Seta para baixo 14"/>
        <xdr:cNvSpPr/>
      </xdr:nvSpPr>
      <xdr:spPr>
        <a:xfrm rot="16200000">
          <a:off x="11925301" y="438151"/>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2276476</xdr:colOff>
      <xdr:row>1</xdr:row>
      <xdr:rowOff>76198</xdr:rowOff>
    </xdr:from>
    <xdr:to>
      <xdr:col>8</xdr:col>
      <xdr:colOff>2743201</xdr:colOff>
      <xdr:row>3</xdr:row>
      <xdr:rowOff>114298</xdr:rowOff>
    </xdr:to>
    <xdr:sp macro="[0]!Direita2" textlink="">
      <xdr:nvSpPr>
        <xdr:cNvPr id="16" name="Seta para baixo 15"/>
        <xdr:cNvSpPr/>
      </xdr:nvSpPr>
      <xdr:spPr>
        <a:xfrm rot="16200000">
          <a:off x="22740939" y="452435"/>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104775</xdr:colOff>
      <xdr:row>1</xdr:row>
      <xdr:rowOff>38100</xdr:rowOff>
    </xdr:from>
    <xdr:to>
      <xdr:col>11</xdr:col>
      <xdr:colOff>590550</xdr:colOff>
      <xdr:row>4</xdr:row>
      <xdr:rowOff>66675</xdr:rowOff>
    </xdr:to>
    <xdr:sp macro="[0]!EsquerdaTudo" textlink="">
      <xdr:nvSpPr>
        <xdr:cNvPr id="18" name="Seta para baixo 17"/>
        <xdr:cNvSpPr/>
      </xdr:nvSpPr>
      <xdr:spPr>
        <a:xfrm rot="5400000">
          <a:off x="30118050" y="466725"/>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542925</xdr:colOff>
      <xdr:row>1</xdr:row>
      <xdr:rowOff>57150</xdr:rowOff>
    </xdr:from>
    <xdr:to>
      <xdr:col>1</xdr:col>
      <xdr:colOff>438150</xdr:colOff>
      <xdr:row>4</xdr:row>
      <xdr:rowOff>85725</xdr:rowOff>
    </xdr:to>
    <xdr:sp macro="[0]!DireitaTudo" textlink="">
      <xdr:nvSpPr>
        <xdr:cNvPr id="19" name="Seta para baixo 18"/>
        <xdr:cNvSpPr/>
      </xdr:nvSpPr>
      <xdr:spPr>
        <a:xfrm rot="16200000">
          <a:off x="571500" y="485775"/>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1128713</xdr:colOff>
      <xdr:row>9</xdr:row>
      <xdr:rowOff>61914</xdr:rowOff>
    </xdr:from>
    <xdr:to>
      <xdr:col>5</xdr:col>
      <xdr:colOff>1595438</xdr:colOff>
      <xdr:row>10</xdr:row>
      <xdr:rowOff>176214</xdr:rowOff>
    </xdr:to>
    <xdr:sp macro="[0]!Direita1" textlink="">
      <xdr:nvSpPr>
        <xdr:cNvPr id="20" name="Seta para baixo 19"/>
        <xdr:cNvSpPr/>
      </xdr:nvSpPr>
      <xdr:spPr>
        <a:xfrm rot="16200000">
          <a:off x="11991976" y="4200526"/>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2343151</xdr:colOff>
      <xdr:row>9</xdr:row>
      <xdr:rowOff>76198</xdr:rowOff>
    </xdr:from>
    <xdr:to>
      <xdr:col>8</xdr:col>
      <xdr:colOff>2809876</xdr:colOff>
      <xdr:row>10</xdr:row>
      <xdr:rowOff>190498</xdr:rowOff>
    </xdr:to>
    <xdr:sp macro="[0]!Direita2" textlink="">
      <xdr:nvSpPr>
        <xdr:cNvPr id="21" name="Seta para baixo 20"/>
        <xdr:cNvSpPr/>
      </xdr:nvSpPr>
      <xdr:spPr>
        <a:xfrm rot="16200000">
          <a:off x="22807614" y="421481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171450</xdr:colOff>
      <xdr:row>9</xdr:row>
      <xdr:rowOff>38100</xdr:rowOff>
    </xdr:from>
    <xdr:to>
      <xdr:col>12</xdr:col>
      <xdr:colOff>47625</xdr:colOff>
      <xdr:row>11</xdr:row>
      <xdr:rowOff>76200</xdr:rowOff>
    </xdr:to>
    <xdr:sp macro="[0]!EsquerdaTudo" textlink="">
      <xdr:nvSpPr>
        <xdr:cNvPr id="22" name="Seta para baixo 21"/>
        <xdr:cNvSpPr/>
      </xdr:nvSpPr>
      <xdr:spPr>
        <a:xfrm rot="5400000">
          <a:off x="30184725" y="4229100"/>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19050</xdr:colOff>
      <xdr:row>9</xdr:row>
      <xdr:rowOff>57150</xdr:rowOff>
    </xdr:from>
    <xdr:to>
      <xdr:col>1</xdr:col>
      <xdr:colOff>504825</xdr:colOff>
      <xdr:row>11</xdr:row>
      <xdr:rowOff>95250</xdr:rowOff>
    </xdr:to>
    <xdr:sp macro="[0]!DireitaTudo" textlink="">
      <xdr:nvSpPr>
        <xdr:cNvPr id="23" name="Seta para baixo 22"/>
        <xdr:cNvSpPr/>
      </xdr:nvSpPr>
      <xdr:spPr>
        <a:xfrm rot="16200000">
          <a:off x="638175" y="4248150"/>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1033463</xdr:colOff>
      <xdr:row>17</xdr:row>
      <xdr:rowOff>290514</xdr:rowOff>
    </xdr:from>
    <xdr:to>
      <xdr:col>5</xdr:col>
      <xdr:colOff>1500188</xdr:colOff>
      <xdr:row>18</xdr:row>
      <xdr:rowOff>290514</xdr:rowOff>
    </xdr:to>
    <xdr:sp macro="[0]!Direita1" textlink="">
      <xdr:nvSpPr>
        <xdr:cNvPr id="24" name="Seta para baixo 23"/>
        <xdr:cNvSpPr/>
      </xdr:nvSpPr>
      <xdr:spPr>
        <a:xfrm rot="16200000">
          <a:off x="11896726" y="8963026"/>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2247901</xdr:colOff>
      <xdr:row>17</xdr:row>
      <xdr:rowOff>304798</xdr:rowOff>
    </xdr:from>
    <xdr:to>
      <xdr:col>8</xdr:col>
      <xdr:colOff>2714626</xdr:colOff>
      <xdr:row>18</xdr:row>
      <xdr:rowOff>304798</xdr:rowOff>
    </xdr:to>
    <xdr:sp macro="[0]!Direita2" textlink="">
      <xdr:nvSpPr>
        <xdr:cNvPr id="25" name="Seta para baixo 24"/>
        <xdr:cNvSpPr/>
      </xdr:nvSpPr>
      <xdr:spPr>
        <a:xfrm rot="16200000">
          <a:off x="22712364" y="8977310"/>
          <a:ext cx="304800"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76200</xdr:colOff>
      <xdr:row>17</xdr:row>
      <xdr:rowOff>266700</xdr:rowOff>
    </xdr:from>
    <xdr:to>
      <xdr:col>11</xdr:col>
      <xdr:colOff>561975</xdr:colOff>
      <xdr:row>19</xdr:row>
      <xdr:rowOff>85725</xdr:rowOff>
    </xdr:to>
    <xdr:sp macro="[0]!EsquerdaTudo" textlink="">
      <xdr:nvSpPr>
        <xdr:cNvPr id="26" name="Seta para baixo 25"/>
        <xdr:cNvSpPr/>
      </xdr:nvSpPr>
      <xdr:spPr>
        <a:xfrm rot="5400000">
          <a:off x="30089475" y="8991600"/>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514350</xdr:colOff>
      <xdr:row>17</xdr:row>
      <xdr:rowOff>285750</xdr:rowOff>
    </xdr:from>
    <xdr:to>
      <xdr:col>1</xdr:col>
      <xdr:colOff>409575</xdr:colOff>
      <xdr:row>19</xdr:row>
      <xdr:rowOff>104775</xdr:rowOff>
    </xdr:to>
    <xdr:sp macro="[0]!DireitaTudo" textlink="">
      <xdr:nvSpPr>
        <xdr:cNvPr id="27" name="Seta para baixo 26"/>
        <xdr:cNvSpPr/>
      </xdr:nvSpPr>
      <xdr:spPr>
        <a:xfrm rot="16200000">
          <a:off x="542925" y="9010650"/>
          <a:ext cx="4286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1109663</xdr:colOff>
      <xdr:row>25</xdr:row>
      <xdr:rowOff>266700</xdr:rowOff>
    </xdr:from>
    <xdr:to>
      <xdr:col>5</xdr:col>
      <xdr:colOff>1576388</xdr:colOff>
      <xdr:row>26</xdr:row>
      <xdr:rowOff>252414</xdr:rowOff>
    </xdr:to>
    <xdr:sp macro="[0]!Direita1" textlink="">
      <xdr:nvSpPr>
        <xdr:cNvPr id="32" name="Seta para baixo 31"/>
        <xdr:cNvSpPr/>
      </xdr:nvSpPr>
      <xdr:spPr>
        <a:xfrm rot="16200000">
          <a:off x="11980069" y="13380244"/>
          <a:ext cx="290514"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2324101</xdr:colOff>
      <xdr:row>25</xdr:row>
      <xdr:rowOff>266700</xdr:rowOff>
    </xdr:from>
    <xdr:to>
      <xdr:col>8</xdr:col>
      <xdr:colOff>2790826</xdr:colOff>
      <xdr:row>26</xdr:row>
      <xdr:rowOff>266698</xdr:rowOff>
    </xdr:to>
    <xdr:sp macro="[0]!Direita2" textlink="">
      <xdr:nvSpPr>
        <xdr:cNvPr id="33" name="Seta para baixo 32"/>
        <xdr:cNvSpPr/>
      </xdr:nvSpPr>
      <xdr:spPr>
        <a:xfrm rot="16200000">
          <a:off x="22788565" y="13387386"/>
          <a:ext cx="304798"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152400</xdr:colOff>
      <xdr:row>25</xdr:row>
      <xdr:rowOff>266700</xdr:rowOff>
    </xdr:from>
    <xdr:to>
      <xdr:col>12</xdr:col>
      <xdr:colOff>28575</xdr:colOff>
      <xdr:row>27</xdr:row>
      <xdr:rowOff>47625</xdr:rowOff>
    </xdr:to>
    <xdr:sp macro="[0]!EsquerdaTudo" textlink="">
      <xdr:nvSpPr>
        <xdr:cNvPr id="34" name="Seta para baixo 33"/>
        <xdr:cNvSpPr/>
      </xdr:nvSpPr>
      <xdr:spPr>
        <a:xfrm rot="5400000">
          <a:off x="30184725" y="13420725"/>
          <a:ext cx="3905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25</xdr:row>
      <xdr:rowOff>266700</xdr:rowOff>
    </xdr:from>
    <xdr:to>
      <xdr:col>1</xdr:col>
      <xdr:colOff>485775</xdr:colOff>
      <xdr:row>27</xdr:row>
      <xdr:rowOff>66675</xdr:rowOff>
    </xdr:to>
    <xdr:sp macro="[0]!DireitaTudo" textlink="">
      <xdr:nvSpPr>
        <xdr:cNvPr id="35" name="Seta para baixo 34"/>
        <xdr:cNvSpPr/>
      </xdr:nvSpPr>
      <xdr:spPr>
        <a:xfrm rot="16200000">
          <a:off x="628650" y="13430250"/>
          <a:ext cx="40957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1109663</xdr:colOff>
      <xdr:row>33</xdr:row>
      <xdr:rowOff>114300</xdr:rowOff>
    </xdr:from>
    <xdr:to>
      <xdr:col>5</xdr:col>
      <xdr:colOff>1576388</xdr:colOff>
      <xdr:row>35</xdr:row>
      <xdr:rowOff>14289</xdr:rowOff>
    </xdr:to>
    <xdr:sp macro="[0]!Direita1" textlink="">
      <xdr:nvSpPr>
        <xdr:cNvPr id="36" name="Seta para baixo 35"/>
        <xdr:cNvSpPr/>
      </xdr:nvSpPr>
      <xdr:spPr>
        <a:xfrm rot="16200000">
          <a:off x="11980069" y="17980819"/>
          <a:ext cx="290514"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2324101</xdr:colOff>
      <xdr:row>33</xdr:row>
      <xdr:rowOff>114300</xdr:rowOff>
    </xdr:from>
    <xdr:to>
      <xdr:col>8</xdr:col>
      <xdr:colOff>2790826</xdr:colOff>
      <xdr:row>35</xdr:row>
      <xdr:rowOff>28573</xdr:rowOff>
    </xdr:to>
    <xdr:sp macro="[0]!Direita2" textlink="">
      <xdr:nvSpPr>
        <xdr:cNvPr id="37" name="Seta para baixo 36"/>
        <xdr:cNvSpPr/>
      </xdr:nvSpPr>
      <xdr:spPr>
        <a:xfrm rot="16200000">
          <a:off x="22788565" y="17987961"/>
          <a:ext cx="304798" cy="466725"/>
        </a:xfrm>
        <a:prstGeom prst="downArrow">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152400</xdr:colOff>
      <xdr:row>33</xdr:row>
      <xdr:rowOff>114300</xdr:rowOff>
    </xdr:from>
    <xdr:to>
      <xdr:col>12</xdr:col>
      <xdr:colOff>28575</xdr:colOff>
      <xdr:row>35</xdr:row>
      <xdr:rowOff>114300</xdr:rowOff>
    </xdr:to>
    <xdr:sp macro="[0]!EsquerdaTudo" textlink="">
      <xdr:nvSpPr>
        <xdr:cNvPr id="38" name="Seta para baixo 37"/>
        <xdr:cNvSpPr/>
      </xdr:nvSpPr>
      <xdr:spPr>
        <a:xfrm rot="5400000">
          <a:off x="30184725" y="18021300"/>
          <a:ext cx="39052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33</xdr:row>
      <xdr:rowOff>114300</xdr:rowOff>
    </xdr:from>
    <xdr:to>
      <xdr:col>1</xdr:col>
      <xdr:colOff>485775</xdr:colOff>
      <xdr:row>35</xdr:row>
      <xdr:rowOff>133350</xdr:rowOff>
    </xdr:to>
    <xdr:sp macro="[0]!DireitaTudo" textlink="">
      <xdr:nvSpPr>
        <xdr:cNvPr id="39" name="Seta para baixo 38"/>
        <xdr:cNvSpPr/>
      </xdr:nvSpPr>
      <xdr:spPr>
        <a:xfrm rot="16200000">
          <a:off x="628650" y="18030825"/>
          <a:ext cx="409575" cy="485775"/>
        </a:xfrm>
        <a:prstGeom prst="downArrow">
          <a:avLst/>
        </a:prstGeom>
        <a:solidFill>
          <a:srgbClr val="0066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76200</xdr:colOff>
      <xdr:row>0</xdr:row>
      <xdr:rowOff>66675</xdr:rowOff>
    </xdr:from>
    <xdr:to>
      <xdr:col>1</xdr:col>
      <xdr:colOff>47625</xdr:colOff>
      <xdr:row>0</xdr:row>
      <xdr:rowOff>396724</xdr:rowOff>
    </xdr:to>
    <xdr:pic>
      <xdr:nvPicPr>
        <xdr:cNvPr id="40" name="Imagem 3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 y="66675"/>
          <a:ext cx="561975" cy="330049"/>
        </a:xfrm>
        <a:prstGeom prst="rect">
          <a:avLst/>
        </a:prstGeom>
      </xdr:spPr>
    </xdr:pic>
    <xdr:clientData/>
  </xdr:twoCellAnchor>
  <xdr:twoCellAnchor editAs="oneCell">
    <xdr:from>
      <xdr:col>5</xdr:col>
      <xdr:colOff>495300</xdr:colOff>
      <xdr:row>0</xdr:row>
      <xdr:rowOff>0</xdr:rowOff>
    </xdr:from>
    <xdr:to>
      <xdr:col>5</xdr:col>
      <xdr:colOff>1695450</xdr:colOff>
      <xdr:row>1</xdr:row>
      <xdr:rowOff>19049</xdr:rowOff>
    </xdr:to>
    <xdr:pic>
      <xdr:nvPicPr>
        <xdr:cNvPr id="41" name="Imagem 40">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77600" y="0"/>
          <a:ext cx="1200150" cy="4762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1</xdr:col>
      <xdr:colOff>66675</xdr:colOff>
      <xdr:row>0</xdr:row>
      <xdr:rowOff>406249</xdr:rowOff>
    </xdr:to>
    <xdr:pic>
      <xdr:nvPicPr>
        <xdr:cNvPr id="7" name="Imagem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76200"/>
          <a:ext cx="561975" cy="330049"/>
        </a:xfrm>
        <a:prstGeom prst="rect">
          <a:avLst/>
        </a:prstGeom>
      </xdr:spPr>
    </xdr:pic>
    <xdr:clientData/>
  </xdr:twoCellAnchor>
  <xdr:twoCellAnchor editAs="oneCell">
    <xdr:from>
      <xdr:col>5</xdr:col>
      <xdr:colOff>495300</xdr:colOff>
      <xdr:row>0</xdr:row>
      <xdr:rowOff>9525</xdr:rowOff>
    </xdr:from>
    <xdr:to>
      <xdr:col>7</xdr:col>
      <xdr:colOff>476250</xdr:colOff>
      <xdr:row>1</xdr:row>
      <xdr:rowOff>28574</xdr:rowOff>
    </xdr:to>
    <xdr:pic>
      <xdr:nvPicPr>
        <xdr:cNvPr id="8" name="Imagem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96650" y="9525"/>
          <a:ext cx="1200150" cy="4762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104775</xdr:colOff>
      <xdr:row>0</xdr:row>
      <xdr:rowOff>76200</xdr:rowOff>
    </xdr:from>
    <xdr:to>
      <xdr:col>1</xdr:col>
      <xdr:colOff>76200</xdr:colOff>
      <xdr:row>0</xdr:row>
      <xdr:rowOff>406249</xdr:rowOff>
    </xdr:to>
    <xdr:pic>
      <xdr:nvPicPr>
        <xdr:cNvPr id="7" name="Imagem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 y="76200"/>
          <a:ext cx="561975" cy="330049"/>
        </a:xfrm>
        <a:prstGeom prst="rect">
          <a:avLst/>
        </a:prstGeom>
      </xdr:spPr>
    </xdr:pic>
    <xdr:clientData/>
  </xdr:twoCellAnchor>
  <xdr:twoCellAnchor editAs="oneCell">
    <xdr:from>
      <xdr:col>5</xdr:col>
      <xdr:colOff>504825</xdr:colOff>
      <xdr:row>0</xdr:row>
      <xdr:rowOff>9525</xdr:rowOff>
    </xdr:from>
    <xdr:to>
      <xdr:col>7</xdr:col>
      <xdr:colOff>485775</xdr:colOff>
      <xdr:row>1</xdr:row>
      <xdr:rowOff>28574</xdr:rowOff>
    </xdr:to>
    <xdr:pic>
      <xdr:nvPicPr>
        <xdr:cNvPr id="8" name="Imagem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06175" y="9525"/>
          <a:ext cx="1200150" cy="4762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95250</xdr:colOff>
      <xdr:row>0</xdr:row>
      <xdr:rowOff>66675</xdr:rowOff>
    </xdr:from>
    <xdr:to>
      <xdr:col>1</xdr:col>
      <xdr:colOff>66675</xdr:colOff>
      <xdr:row>0</xdr:row>
      <xdr:rowOff>396724</xdr:rowOff>
    </xdr:to>
    <xdr:pic>
      <xdr:nvPicPr>
        <xdr:cNvPr id="7" name="Imagem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66675"/>
          <a:ext cx="561975" cy="330049"/>
        </a:xfrm>
        <a:prstGeom prst="rect">
          <a:avLst/>
        </a:prstGeom>
      </xdr:spPr>
    </xdr:pic>
    <xdr:clientData/>
  </xdr:twoCellAnchor>
  <xdr:twoCellAnchor editAs="oneCell">
    <xdr:from>
      <xdr:col>5</xdr:col>
      <xdr:colOff>495300</xdr:colOff>
      <xdr:row>0</xdr:row>
      <xdr:rowOff>0</xdr:rowOff>
    </xdr:from>
    <xdr:to>
      <xdr:col>7</xdr:col>
      <xdr:colOff>476250</xdr:colOff>
      <xdr:row>1</xdr:row>
      <xdr:rowOff>19049</xdr:rowOff>
    </xdr:to>
    <xdr:pic>
      <xdr:nvPicPr>
        <xdr:cNvPr id="8" name="Imagem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96650" y="0"/>
          <a:ext cx="1200150" cy="4762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95250</xdr:colOff>
      <xdr:row>0</xdr:row>
      <xdr:rowOff>66675</xdr:rowOff>
    </xdr:from>
    <xdr:to>
      <xdr:col>1</xdr:col>
      <xdr:colOff>66675</xdr:colOff>
      <xdr:row>0</xdr:row>
      <xdr:rowOff>396724</xdr:rowOff>
    </xdr:to>
    <xdr:pic>
      <xdr:nvPicPr>
        <xdr:cNvPr id="7" name="Imagem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0" y="66675"/>
          <a:ext cx="561975" cy="330049"/>
        </a:xfrm>
        <a:prstGeom prst="rect">
          <a:avLst/>
        </a:prstGeom>
      </xdr:spPr>
    </xdr:pic>
    <xdr:clientData/>
  </xdr:twoCellAnchor>
  <xdr:twoCellAnchor editAs="oneCell">
    <xdr:from>
      <xdr:col>5</xdr:col>
      <xdr:colOff>495300</xdr:colOff>
      <xdr:row>0</xdr:row>
      <xdr:rowOff>0</xdr:rowOff>
    </xdr:from>
    <xdr:to>
      <xdr:col>7</xdr:col>
      <xdr:colOff>476250</xdr:colOff>
      <xdr:row>1</xdr:row>
      <xdr:rowOff>19049</xdr:rowOff>
    </xdr:to>
    <xdr:pic>
      <xdr:nvPicPr>
        <xdr:cNvPr id="8" name="Imagem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96650" y="0"/>
          <a:ext cx="1200150" cy="4762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38100</xdr:colOff>
      <xdr:row>0</xdr:row>
      <xdr:rowOff>396724</xdr:rowOff>
    </xdr:to>
    <xdr:pic>
      <xdr:nvPicPr>
        <xdr:cNvPr id="7" name="Imagem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66675"/>
          <a:ext cx="561975" cy="330049"/>
        </a:xfrm>
        <a:prstGeom prst="rect">
          <a:avLst/>
        </a:prstGeom>
      </xdr:spPr>
    </xdr:pic>
    <xdr:clientData/>
  </xdr:twoCellAnchor>
  <xdr:twoCellAnchor editAs="oneCell">
    <xdr:from>
      <xdr:col>5</xdr:col>
      <xdr:colOff>466725</xdr:colOff>
      <xdr:row>0</xdr:row>
      <xdr:rowOff>0</xdr:rowOff>
    </xdr:from>
    <xdr:to>
      <xdr:col>7</xdr:col>
      <xdr:colOff>447675</xdr:colOff>
      <xdr:row>1</xdr:row>
      <xdr:rowOff>19049</xdr:rowOff>
    </xdr:to>
    <xdr:pic>
      <xdr:nvPicPr>
        <xdr:cNvPr id="8" name="Imagem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68075" y="0"/>
          <a:ext cx="1200150" cy="4762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115660</xdr:colOff>
      <xdr:row>8</xdr:row>
      <xdr:rowOff>140607</xdr:rowOff>
    </xdr:from>
    <xdr:to>
      <xdr:col>28</xdr:col>
      <xdr:colOff>489858</xdr:colOff>
      <xdr:row>28</xdr:row>
      <xdr:rowOff>172357</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446315</xdr:colOff>
      <xdr:row>0</xdr:row>
      <xdr:rowOff>9525</xdr:rowOff>
    </xdr:from>
    <xdr:to>
      <xdr:col>18</xdr:col>
      <xdr:colOff>425904</xdr:colOff>
      <xdr:row>1</xdr:row>
      <xdr:rowOff>28574</xdr:rowOff>
    </xdr:to>
    <xdr:pic>
      <xdr:nvPicPr>
        <xdr:cNvPr id="11" name="Imagem 10">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57190" y="9525"/>
          <a:ext cx="1198789" cy="476249"/>
        </a:xfrm>
        <a:prstGeom prst="rect">
          <a:avLst/>
        </a:prstGeom>
      </xdr:spPr>
    </xdr:pic>
    <xdr:clientData/>
  </xdr:twoCellAnchor>
  <xdr:twoCellAnchor>
    <xdr:from>
      <xdr:col>1</xdr:col>
      <xdr:colOff>133350</xdr:colOff>
      <xdr:row>1</xdr:row>
      <xdr:rowOff>200025</xdr:rowOff>
    </xdr:from>
    <xdr:to>
      <xdr:col>1</xdr:col>
      <xdr:colOff>1390650</xdr:colOff>
      <xdr:row>2</xdr:row>
      <xdr:rowOff>85725</xdr:rowOff>
    </xdr:to>
    <xdr:sp macro="[0]!Maximizar" textlink="">
      <xdr:nvSpPr>
        <xdr:cNvPr id="2" name="Retângulo de cantos arredondados 1"/>
        <xdr:cNvSpPr/>
      </xdr:nvSpPr>
      <xdr:spPr>
        <a:xfrm>
          <a:off x="742950" y="657225"/>
          <a:ext cx="1257300" cy="533400"/>
        </a:xfrm>
        <a:prstGeom prst="roundRect">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219075</xdr:colOff>
      <xdr:row>1</xdr:row>
      <xdr:rowOff>342900</xdr:rowOff>
    </xdr:from>
    <xdr:to>
      <xdr:col>1</xdr:col>
      <xdr:colOff>1304925</xdr:colOff>
      <xdr:row>1</xdr:row>
      <xdr:rowOff>590550</xdr:rowOff>
    </xdr:to>
    <xdr:sp macro="[0]!Maximizar" textlink="">
      <xdr:nvSpPr>
        <xdr:cNvPr id="4" name="CaixaDeTexto 3"/>
        <xdr:cNvSpPr txBox="1"/>
      </xdr:nvSpPr>
      <xdr:spPr>
        <a:xfrm>
          <a:off x="828675" y="800100"/>
          <a:ext cx="10858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i="1" u="sng">
              <a:solidFill>
                <a:schemeClr val="bg1"/>
              </a:solidFill>
            </a:rPr>
            <a:t>MAXIMIZAR</a:t>
          </a:r>
        </a:p>
      </xdr:txBody>
    </xdr:sp>
    <xdr:clientData/>
  </xdr:twoCellAnchor>
  <xdr:twoCellAnchor>
    <xdr:from>
      <xdr:col>28</xdr:col>
      <xdr:colOff>460374</xdr:colOff>
      <xdr:row>1</xdr:row>
      <xdr:rowOff>317500</xdr:rowOff>
    </xdr:from>
    <xdr:to>
      <xdr:col>31</xdr:col>
      <xdr:colOff>444499</xdr:colOff>
      <xdr:row>4</xdr:row>
      <xdr:rowOff>95250</xdr:rowOff>
    </xdr:to>
    <xdr:sp macro="[0]!Minimizar" textlink="">
      <xdr:nvSpPr>
        <xdr:cNvPr id="12" name="Retângulo de cantos arredondados 11"/>
        <xdr:cNvSpPr/>
      </xdr:nvSpPr>
      <xdr:spPr>
        <a:xfrm>
          <a:off x="18430874" y="777875"/>
          <a:ext cx="1793875" cy="809625"/>
        </a:xfrm>
        <a:prstGeom prst="roundRect">
          <a:avLst/>
        </a:prstGeom>
        <a:solidFill>
          <a:srgbClr val="008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29</xdr:col>
      <xdr:colOff>31748</xdr:colOff>
      <xdr:row>1</xdr:row>
      <xdr:rowOff>492125</xdr:rowOff>
    </xdr:from>
    <xdr:to>
      <xdr:col>31</xdr:col>
      <xdr:colOff>253999</xdr:colOff>
      <xdr:row>3</xdr:row>
      <xdr:rowOff>63500</xdr:rowOff>
    </xdr:to>
    <xdr:sp macro="[0]!Minimizar" textlink="">
      <xdr:nvSpPr>
        <xdr:cNvPr id="13" name="CaixaDeTexto 12"/>
        <xdr:cNvSpPr txBox="1"/>
      </xdr:nvSpPr>
      <xdr:spPr>
        <a:xfrm>
          <a:off x="18605498" y="952500"/>
          <a:ext cx="1428751"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i="1" u="sng">
              <a:solidFill>
                <a:schemeClr val="bg1"/>
              </a:solidFill>
            </a:rPr>
            <a:t>MINIMIZAR</a:t>
          </a:r>
        </a:p>
      </xdr:txBody>
    </xdr:sp>
    <xdr:clientData/>
  </xdr:twoCellAnchor>
  <xdr:twoCellAnchor>
    <xdr:from>
      <xdr:col>1</xdr:col>
      <xdr:colOff>371474</xdr:colOff>
      <xdr:row>8</xdr:row>
      <xdr:rowOff>147636</xdr:rowOff>
    </xdr:from>
    <xdr:to>
      <xdr:col>11</xdr:col>
      <xdr:colOff>314324</xdr:colOff>
      <xdr:row>28</xdr:row>
      <xdr:rowOff>171449</xdr:rowOff>
    </xdr:to>
    <xdr:graphicFrame macro="">
      <xdr:nvGraphicFramePr>
        <xdr:cNvPr id="16" name="Gráfico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66675</xdr:rowOff>
    </xdr:from>
    <xdr:to>
      <xdr:col>1</xdr:col>
      <xdr:colOff>38100</xdr:colOff>
      <xdr:row>0</xdr:row>
      <xdr:rowOff>396724</xdr:rowOff>
    </xdr:to>
    <xdr:pic>
      <xdr:nvPicPr>
        <xdr:cNvPr id="17" name="Imagem 16">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5725" y="66675"/>
          <a:ext cx="561975" cy="330049"/>
        </a:xfrm>
        <a:prstGeom prst="rect">
          <a:avLst/>
        </a:prstGeom>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Y1"/>
  <sheetViews>
    <sheetView tabSelected="1" topLeftCell="B1" zoomScaleNormal="100" workbookViewId="0">
      <selection sqref="A1:T1"/>
    </sheetView>
  </sheetViews>
  <sheetFormatPr defaultRowHeight="15" x14ac:dyDescent="0.25"/>
  <cols>
    <col min="1" max="1" width="9.140625" style="1" hidden="1" customWidth="1"/>
    <col min="2" max="2" width="17" style="1" customWidth="1"/>
    <col min="3" max="16384" width="9.140625" style="1"/>
  </cols>
  <sheetData>
    <row r="1" spans="1:25" s="28" customFormat="1" ht="36" customHeight="1" x14ac:dyDescent="0.25">
      <c r="A1" s="25" t="s">
        <v>230</v>
      </c>
      <c r="B1" s="26"/>
      <c r="C1" s="26"/>
      <c r="D1" s="26"/>
      <c r="E1" s="26"/>
      <c r="F1" s="26"/>
      <c r="G1" s="26"/>
      <c r="H1" s="26"/>
      <c r="I1" s="26"/>
      <c r="J1" s="26"/>
      <c r="K1" s="26"/>
      <c r="L1" s="26"/>
      <c r="M1" s="26"/>
      <c r="N1" s="26"/>
      <c r="O1" s="26"/>
      <c r="P1" s="26"/>
      <c r="Q1" s="26"/>
      <c r="R1" s="26"/>
      <c r="S1" s="26"/>
      <c r="T1" s="26"/>
      <c r="U1" s="27"/>
      <c r="V1" s="27"/>
      <c r="W1" s="27"/>
      <c r="X1" s="27"/>
      <c r="Y1" s="27"/>
    </row>
  </sheetData>
  <mergeCells count="1">
    <mergeCell ref="A1:T1"/>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Y10"/>
  <sheetViews>
    <sheetView showGridLines="0" zoomScaleNormal="100" workbookViewId="0">
      <selection sqref="A1:K1"/>
    </sheetView>
  </sheetViews>
  <sheetFormatPr defaultRowHeight="15" x14ac:dyDescent="0.25"/>
  <cols>
    <col min="1" max="1" width="5.7109375" customWidth="1"/>
    <col min="2" max="2" width="37.28515625" style="4" customWidth="1"/>
    <col min="3" max="3" width="23.28515625" customWidth="1"/>
    <col min="5" max="5" width="55.42578125" customWidth="1"/>
  </cols>
  <sheetData>
    <row r="1" spans="1:25" s="28" customFormat="1" ht="36" customHeight="1" x14ac:dyDescent="0.25">
      <c r="A1" s="25" t="s">
        <v>232</v>
      </c>
      <c r="B1" s="26"/>
      <c r="C1" s="26"/>
      <c r="D1" s="26"/>
      <c r="E1" s="26"/>
      <c r="F1" s="26"/>
      <c r="G1" s="26"/>
      <c r="H1" s="26"/>
      <c r="I1" s="26"/>
      <c r="J1" s="26"/>
      <c r="K1" s="26"/>
      <c r="L1" s="29"/>
      <c r="M1" s="29"/>
      <c r="N1" s="29"/>
      <c r="O1" s="29"/>
      <c r="P1" s="29"/>
      <c r="Q1" s="29"/>
      <c r="R1" s="29"/>
      <c r="S1" s="29"/>
      <c r="T1" s="29"/>
      <c r="U1" s="27"/>
      <c r="V1" s="27"/>
      <c r="W1" s="27"/>
      <c r="X1" s="27"/>
      <c r="Y1" s="27"/>
    </row>
    <row r="2" spans="1:25" ht="10.5" customHeight="1" thickBot="1" x14ac:dyDescent="0.3"/>
    <row r="3" spans="1:25" ht="18.75" customHeight="1" thickBot="1" x14ac:dyDescent="0.3">
      <c r="B3" s="33" t="s">
        <v>213</v>
      </c>
      <c r="C3" s="33" t="s">
        <v>214</v>
      </c>
      <c r="E3" s="37" t="s">
        <v>215</v>
      </c>
    </row>
    <row r="4" spans="1:25" ht="50.25" customHeight="1" x14ac:dyDescent="0.25">
      <c r="B4" s="32" t="s">
        <v>22</v>
      </c>
      <c r="C4" s="30">
        <f>Estratégia!E8</f>
        <v>9.98</v>
      </c>
      <c r="E4" s="18" t="s">
        <v>216</v>
      </c>
    </row>
    <row r="5" spans="1:25" ht="50.25" customHeight="1" x14ac:dyDescent="0.25">
      <c r="A5" s="2"/>
      <c r="B5" s="31" t="s">
        <v>7</v>
      </c>
      <c r="C5" s="30">
        <f>Finanças!E8</f>
        <v>11.64</v>
      </c>
      <c r="E5" s="18" t="s">
        <v>217</v>
      </c>
    </row>
    <row r="6" spans="1:25" ht="50.25" customHeight="1" x14ac:dyDescent="0.25">
      <c r="A6" s="2"/>
      <c r="B6" s="31" t="s">
        <v>130</v>
      </c>
      <c r="C6" s="30">
        <f>Marketing!E8</f>
        <v>11.64</v>
      </c>
      <c r="E6" s="18" t="s">
        <v>218</v>
      </c>
    </row>
    <row r="7" spans="1:25" ht="50.25" customHeight="1" x14ac:dyDescent="0.25">
      <c r="A7" s="2"/>
      <c r="B7" s="31" t="s">
        <v>171</v>
      </c>
      <c r="C7" s="30">
        <f>Operações!E8</f>
        <v>13.32</v>
      </c>
      <c r="E7" s="18" t="s">
        <v>219</v>
      </c>
    </row>
    <row r="8" spans="1:25" ht="50.25" customHeight="1" thickBot="1" x14ac:dyDescent="0.3">
      <c r="A8" s="2"/>
      <c r="B8" s="34" t="s">
        <v>172</v>
      </c>
      <c r="C8" s="35">
        <f>'Recursos Humanos'!E8</f>
        <v>6.64</v>
      </c>
      <c r="E8" s="18" t="s">
        <v>220</v>
      </c>
    </row>
    <row r="9" spans="1:25" s="3" customFormat="1" ht="23.25" customHeight="1" thickBot="1" x14ac:dyDescent="0.3">
      <c r="B9" s="33" t="s">
        <v>222</v>
      </c>
      <c r="C9" s="36">
        <f>SUM(C4:C8)</f>
        <v>53.220000000000006</v>
      </c>
    </row>
    <row r="10" spans="1:25" s="3" customFormat="1" ht="78" thickBot="1" x14ac:dyDescent="0.3">
      <c r="B10" s="33" t="s">
        <v>221</v>
      </c>
      <c r="C10" s="38" t="str">
        <f>IF(C9&lt;20,E4,IF(AND(C9&gt;20,C9&lt;=40),E5,IF(AND(C9&gt;40,C9&lt;=60),E6,IF(AND(C9&gt;60,C9&lt;=80),E8,IF(C9&gt;80,E7,0)))))</f>
        <v>Nível 3- Existem processos gerenciais formais, no entanto eles são aplicados de maneira descoordenada para gerar os resultados esperados</v>
      </c>
    </row>
  </sheetData>
  <mergeCells count="1">
    <mergeCell ref="A1:K1"/>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41"/>
  <sheetViews>
    <sheetView showGridLines="0" zoomScaleNormal="100" workbookViewId="0">
      <selection sqref="A1:F1"/>
    </sheetView>
  </sheetViews>
  <sheetFormatPr defaultRowHeight="15" x14ac:dyDescent="0.25"/>
  <cols>
    <col min="1" max="2" width="8.85546875" customWidth="1"/>
    <col min="3" max="11" width="48" style="7" customWidth="1"/>
  </cols>
  <sheetData>
    <row r="1" spans="1:25" s="28" customFormat="1" ht="36" customHeight="1" x14ac:dyDescent="0.25">
      <c r="A1" s="25" t="s">
        <v>231</v>
      </c>
      <c r="B1" s="26"/>
      <c r="C1" s="26"/>
      <c r="D1" s="26"/>
      <c r="E1" s="26"/>
      <c r="F1" s="26"/>
      <c r="G1" s="29"/>
      <c r="H1" s="29"/>
      <c r="I1" s="29"/>
      <c r="J1" s="29"/>
      <c r="K1" s="29"/>
      <c r="L1" s="29"/>
      <c r="M1" s="29"/>
      <c r="N1" s="29"/>
      <c r="O1" s="29"/>
      <c r="P1" s="29"/>
      <c r="Q1" s="29"/>
      <c r="R1" s="29"/>
      <c r="S1" s="29"/>
      <c r="T1" s="29"/>
      <c r="U1" s="27"/>
      <c r="V1" s="27"/>
      <c r="W1" s="27"/>
      <c r="X1" s="27"/>
      <c r="Y1" s="27"/>
    </row>
    <row r="2" spans="1:25" ht="10.5" customHeight="1" x14ac:dyDescent="0.25"/>
    <row r="3" spans="1:25" ht="10.5" customHeight="1" x14ac:dyDescent="0.25"/>
    <row r="4" spans="1:25" ht="10.5" customHeight="1" thickBot="1" x14ac:dyDescent="0.3"/>
    <row r="5" spans="1:25" ht="18.75" customHeight="1" x14ac:dyDescent="0.25">
      <c r="C5" s="8" t="s">
        <v>0</v>
      </c>
      <c r="D5" s="9" t="s">
        <v>1</v>
      </c>
      <c r="E5" s="9" t="s">
        <v>2</v>
      </c>
      <c r="F5" s="9" t="s">
        <v>3</v>
      </c>
      <c r="G5" s="9" t="s">
        <v>4</v>
      </c>
      <c r="H5" s="10" t="s">
        <v>8</v>
      </c>
      <c r="I5" s="10" t="s">
        <v>9</v>
      </c>
      <c r="J5" s="10" t="s">
        <v>10</v>
      </c>
      <c r="K5" s="10" t="s">
        <v>11</v>
      </c>
    </row>
    <row r="6" spans="1:25" ht="61.5" customHeight="1" x14ac:dyDescent="0.25">
      <c r="B6" s="24" t="s">
        <v>22</v>
      </c>
      <c r="C6" s="11" t="s">
        <v>227</v>
      </c>
      <c r="D6" s="12" t="s">
        <v>224</v>
      </c>
      <c r="E6" s="12" t="s">
        <v>24</v>
      </c>
      <c r="F6" s="12" t="s">
        <v>25</v>
      </c>
      <c r="G6" s="12" t="s">
        <v>225</v>
      </c>
      <c r="H6" s="13" t="s">
        <v>27</v>
      </c>
      <c r="I6" s="13" t="s">
        <v>26</v>
      </c>
      <c r="J6" s="13" t="s">
        <v>12</v>
      </c>
      <c r="K6" s="13" t="s">
        <v>229</v>
      </c>
    </row>
    <row r="7" spans="1:25" ht="61.5" customHeight="1" x14ac:dyDescent="0.25">
      <c r="A7" s="2"/>
      <c r="B7" s="24"/>
      <c r="C7" s="11" t="s">
        <v>28</v>
      </c>
      <c r="D7" s="12" t="s">
        <v>14</v>
      </c>
      <c r="E7" s="12" t="s">
        <v>29</v>
      </c>
      <c r="F7" s="12" t="s">
        <v>30</v>
      </c>
      <c r="G7" s="12" t="s">
        <v>31</v>
      </c>
      <c r="H7" s="13" t="s">
        <v>32</v>
      </c>
      <c r="I7" s="13" t="s">
        <v>33</v>
      </c>
      <c r="J7" s="13" t="s">
        <v>15</v>
      </c>
      <c r="K7" s="13" t="s">
        <v>229</v>
      </c>
    </row>
    <row r="8" spans="1:25" ht="61.5" customHeight="1" x14ac:dyDescent="0.25">
      <c r="A8" s="2"/>
      <c r="B8" s="24"/>
      <c r="C8" s="11" t="s">
        <v>16</v>
      </c>
      <c r="D8" s="12" t="s">
        <v>17</v>
      </c>
      <c r="E8" s="12" t="s">
        <v>34</v>
      </c>
      <c r="F8" s="12" t="s">
        <v>18</v>
      </c>
      <c r="G8" s="12" t="s">
        <v>19</v>
      </c>
      <c r="H8" s="13" t="s">
        <v>35</v>
      </c>
      <c r="I8" s="13" t="s">
        <v>36</v>
      </c>
      <c r="J8" s="13" t="s">
        <v>20</v>
      </c>
      <c r="K8" s="13" t="s">
        <v>229</v>
      </c>
    </row>
    <row r="9" spans="1:25" ht="61.5" customHeight="1" x14ac:dyDescent="0.25">
      <c r="A9" s="2"/>
      <c r="B9" s="24"/>
      <c r="C9" s="11" t="s">
        <v>228</v>
      </c>
      <c r="D9" s="12" t="s">
        <v>37</v>
      </c>
      <c r="E9" s="12" t="s">
        <v>226</v>
      </c>
      <c r="F9" s="12" t="s">
        <v>21</v>
      </c>
      <c r="G9" s="12" t="s">
        <v>38</v>
      </c>
      <c r="H9" s="13" t="s">
        <v>39</v>
      </c>
      <c r="I9" s="13" t="s">
        <v>40</v>
      </c>
      <c r="J9" s="13" t="s">
        <v>41</v>
      </c>
      <c r="K9" s="13" t="s">
        <v>229</v>
      </c>
    </row>
    <row r="10" spans="1:25" s="3" customFormat="1" x14ac:dyDescent="0.25">
      <c r="C10" s="14"/>
      <c r="D10" s="14"/>
      <c r="E10" s="14"/>
      <c r="F10" s="14"/>
      <c r="G10" s="14"/>
      <c r="H10" s="14"/>
      <c r="I10" s="14"/>
      <c r="J10" s="14"/>
      <c r="K10" s="14"/>
    </row>
    <row r="11" spans="1:25" s="3" customFormat="1" ht="15.75" thickBot="1" x14ac:dyDescent="0.3">
      <c r="C11" s="14"/>
      <c r="D11" s="14"/>
      <c r="E11" s="14"/>
      <c r="F11" s="14"/>
      <c r="G11" s="14"/>
      <c r="H11" s="14"/>
      <c r="I11" s="14"/>
      <c r="J11" s="14"/>
      <c r="K11" s="14"/>
    </row>
    <row r="12" spans="1:25" ht="18.75" customHeight="1" x14ac:dyDescent="0.25">
      <c r="C12" s="8" t="s">
        <v>0</v>
      </c>
      <c r="D12" s="9" t="s">
        <v>1</v>
      </c>
      <c r="E12" s="9" t="s">
        <v>2</v>
      </c>
      <c r="F12" s="9" t="s">
        <v>3</v>
      </c>
      <c r="G12" s="9" t="s">
        <v>4</v>
      </c>
      <c r="H12" s="10" t="s">
        <v>8</v>
      </c>
      <c r="I12" s="10" t="s">
        <v>9</v>
      </c>
      <c r="J12" s="10" t="s">
        <v>10</v>
      </c>
      <c r="K12" s="10" t="s">
        <v>11</v>
      </c>
    </row>
    <row r="13" spans="1:25" ht="61.5" customHeight="1" x14ac:dyDescent="0.25">
      <c r="B13" s="24" t="s">
        <v>7</v>
      </c>
      <c r="C13" s="11" t="s">
        <v>42</v>
      </c>
      <c r="D13" s="12" t="s">
        <v>43</v>
      </c>
      <c r="E13" s="12" t="s">
        <v>44</v>
      </c>
      <c r="F13" s="12" t="s">
        <v>45</v>
      </c>
      <c r="G13" s="12" t="s">
        <v>46</v>
      </c>
      <c r="H13" s="13" t="s">
        <v>47</v>
      </c>
      <c r="I13" s="13" t="s">
        <v>48</v>
      </c>
      <c r="J13" s="13" t="s">
        <v>49</v>
      </c>
      <c r="K13" s="13" t="s">
        <v>229</v>
      </c>
    </row>
    <row r="14" spans="1:25" ht="61.5" customHeight="1" x14ac:dyDescent="0.25">
      <c r="A14" s="2"/>
      <c r="B14" s="24"/>
      <c r="C14" s="11" t="s">
        <v>50</v>
      </c>
      <c r="D14" s="12" t="s">
        <v>51</v>
      </c>
      <c r="E14" s="12" t="s">
        <v>52</v>
      </c>
      <c r="F14" s="12" t="s">
        <v>53</v>
      </c>
      <c r="G14" s="12" t="s">
        <v>54</v>
      </c>
      <c r="H14" s="13" t="s">
        <v>55</v>
      </c>
      <c r="I14" s="13" t="s">
        <v>56</v>
      </c>
      <c r="J14" s="13" t="s">
        <v>57</v>
      </c>
      <c r="K14" s="13" t="s">
        <v>229</v>
      </c>
    </row>
    <row r="15" spans="1:25" ht="61.5" customHeight="1" x14ac:dyDescent="0.25">
      <c r="A15" s="2"/>
      <c r="B15" s="24"/>
      <c r="C15" s="11" t="s">
        <v>58</v>
      </c>
      <c r="D15" s="12" t="s">
        <v>59</v>
      </c>
      <c r="E15" s="12" t="s">
        <v>60</v>
      </c>
      <c r="F15" s="12" t="s">
        <v>61</v>
      </c>
      <c r="G15" s="12" t="s">
        <v>62</v>
      </c>
      <c r="H15" s="13" t="s">
        <v>63</v>
      </c>
      <c r="I15" s="13" t="s">
        <v>64</v>
      </c>
      <c r="J15" s="13" t="s">
        <v>65</v>
      </c>
      <c r="K15" s="13" t="s">
        <v>229</v>
      </c>
    </row>
    <row r="16" spans="1:25" ht="61.5" customHeight="1" x14ac:dyDescent="0.25">
      <c r="A16" s="2"/>
      <c r="B16" s="24"/>
      <c r="C16" s="11" t="s">
        <v>66</v>
      </c>
      <c r="D16" s="12" t="s">
        <v>67</v>
      </c>
      <c r="E16" s="12" t="s">
        <v>68</v>
      </c>
      <c r="F16" s="12" t="s">
        <v>69</v>
      </c>
      <c r="G16" s="12" t="s">
        <v>70</v>
      </c>
      <c r="H16" s="13" t="s">
        <v>71</v>
      </c>
      <c r="I16" s="13" t="s">
        <v>72</v>
      </c>
      <c r="J16" s="13" t="s">
        <v>73</v>
      </c>
      <c r="K16" s="13" t="s">
        <v>229</v>
      </c>
    </row>
    <row r="17" spans="1:11" ht="61.5" customHeight="1" x14ac:dyDescent="0.25">
      <c r="A17" s="2"/>
      <c r="B17" s="24"/>
      <c r="C17" s="11" t="s">
        <v>74</v>
      </c>
      <c r="D17" s="12" t="s">
        <v>75</v>
      </c>
      <c r="E17" s="12" t="s">
        <v>76</v>
      </c>
      <c r="F17" s="12" t="s">
        <v>77</v>
      </c>
      <c r="G17" s="12" t="s">
        <v>78</v>
      </c>
      <c r="H17" s="13" t="s">
        <v>79</v>
      </c>
      <c r="I17" s="13" t="s">
        <v>80</v>
      </c>
      <c r="J17" s="13" t="s">
        <v>81</v>
      </c>
      <c r="K17" s="13" t="s">
        <v>229</v>
      </c>
    </row>
    <row r="18" spans="1:11" s="3" customFormat="1" ht="24" hidden="1" customHeight="1" x14ac:dyDescent="0.25">
      <c r="C18" s="14" t="s">
        <v>82</v>
      </c>
      <c r="D18" s="14" t="s">
        <v>83</v>
      </c>
      <c r="E18" s="14" t="s">
        <v>84</v>
      </c>
      <c r="F18" s="14" t="s">
        <v>85</v>
      </c>
      <c r="G18" s="14" t="s">
        <v>86</v>
      </c>
      <c r="H18" s="14" t="s">
        <v>87</v>
      </c>
      <c r="I18" s="14" t="s">
        <v>88</v>
      </c>
      <c r="J18" s="14" t="s">
        <v>89</v>
      </c>
      <c r="K18" s="14" t="s">
        <v>13</v>
      </c>
    </row>
    <row r="19" spans="1:11" s="3" customFormat="1" ht="24" customHeight="1" thickBot="1" x14ac:dyDescent="0.3">
      <c r="C19" s="14"/>
      <c r="D19" s="14"/>
      <c r="E19" s="14"/>
      <c r="F19" s="14"/>
      <c r="G19" s="14"/>
      <c r="H19" s="14"/>
      <c r="I19" s="14"/>
      <c r="J19" s="14"/>
      <c r="K19" s="14"/>
    </row>
    <row r="20" spans="1:11" ht="18.75" customHeight="1" x14ac:dyDescent="0.25">
      <c r="C20" s="8" t="s">
        <v>0</v>
      </c>
      <c r="D20" s="9" t="s">
        <v>1</v>
      </c>
      <c r="E20" s="9" t="s">
        <v>2</v>
      </c>
      <c r="F20" s="9" t="s">
        <v>3</v>
      </c>
      <c r="G20" s="9" t="s">
        <v>4</v>
      </c>
      <c r="H20" s="10" t="s">
        <v>8</v>
      </c>
      <c r="I20" s="10" t="s">
        <v>9</v>
      </c>
      <c r="J20" s="10" t="s">
        <v>10</v>
      </c>
      <c r="K20" s="10" t="s">
        <v>11</v>
      </c>
    </row>
    <row r="21" spans="1:11" ht="61.5" customHeight="1" x14ac:dyDescent="0.25">
      <c r="B21" s="24" t="s">
        <v>130</v>
      </c>
      <c r="C21" s="11" t="s">
        <v>90</v>
      </c>
      <c r="D21" s="12" t="s">
        <v>91</v>
      </c>
      <c r="E21" s="12" t="s">
        <v>92</v>
      </c>
      <c r="F21" s="12" t="s">
        <v>93</v>
      </c>
      <c r="G21" s="12" t="s">
        <v>94</v>
      </c>
      <c r="H21" s="13" t="s">
        <v>95</v>
      </c>
      <c r="I21" s="13" t="s">
        <v>96</v>
      </c>
      <c r="J21" s="13" t="s">
        <v>97</v>
      </c>
      <c r="K21" s="13" t="s">
        <v>229</v>
      </c>
    </row>
    <row r="22" spans="1:11" ht="61.5" customHeight="1" x14ac:dyDescent="0.25">
      <c r="A22" s="2"/>
      <c r="B22" s="24"/>
      <c r="C22" s="11" t="s">
        <v>98</v>
      </c>
      <c r="D22" s="12" t="s">
        <v>99</v>
      </c>
      <c r="E22" s="12" t="s">
        <v>100</v>
      </c>
      <c r="F22" s="12" t="s">
        <v>101</v>
      </c>
      <c r="G22" s="12" t="s">
        <v>102</v>
      </c>
      <c r="H22" s="13" t="s">
        <v>103</v>
      </c>
      <c r="I22" s="13" t="s">
        <v>104</v>
      </c>
      <c r="J22" s="13" t="s">
        <v>105</v>
      </c>
      <c r="K22" s="13" t="s">
        <v>229</v>
      </c>
    </row>
    <row r="23" spans="1:11" ht="61.5" customHeight="1" x14ac:dyDescent="0.25">
      <c r="A23" s="2"/>
      <c r="B23" s="24"/>
      <c r="C23" s="11" t="s">
        <v>106</v>
      </c>
      <c r="D23" s="12" t="s">
        <v>107</v>
      </c>
      <c r="E23" s="12" t="s">
        <v>108</v>
      </c>
      <c r="F23" s="12" t="s">
        <v>109</v>
      </c>
      <c r="G23" s="12" t="s">
        <v>110</v>
      </c>
      <c r="H23" s="13" t="s">
        <v>111</v>
      </c>
      <c r="I23" s="13" t="s">
        <v>112</v>
      </c>
      <c r="J23" s="13" t="s">
        <v>113</v>
      </c>
      <c r="K23" s="13" t="s">
        <v>229</v>
      </c>
    </row>
    <row r="24" spans="1:11" ht="61.5" customHeight="1" x14ac:dyDescent="0.25">
      <c r="A24" s="2"/>
      <c r="B24" s="24"/>
      <c r="C24" s="11" t="s">
        <v>114</v>
      </c>
      <c r="D24" s="12" t="s">
        <v>115</v>
      </c>
      <c r="E24" s="12" t="s">
        <v>116</v>
      </c>
      <c r="F24" s="12" t="s">
        <v>117</v>
      </c>
      <c r="G24" s="12" t="s">
        <v>118</v>
      </c>
      <c r="H24" s="13" t="s">
        <v>119</v>
      </c>
      <c r="I24" s="13" t="s">
        <v>120</v>
      </c>
      <c r="J24" s="13" t="s">
        <v>121</v>
      </c>
      <c r="K24" s="13" t="s">
        <v>229</v>
      </c>
    </row>
    <row r="25" spans="1:11" ht="61.5" customHeight="1" x14ac:dyDescent="0.25">
      <c r="A25" s="2"/>
      <c r="B25" s="24"/>
      <c r="C25" s="11" t="s">
        <v>122</v>
      </c>
      <c r="D25" s="12" t="s">
        <v>123</v>
      </c>
      <c r="E25" s="12" t="s">
        <v>124</v>
      </c>
      <c r="F25" s="12" t="s">
        <v>125</v>
      </c>
      <c r="G25" s="12" t="s">
        <v>126</v>
      </c>
      <c r="H25" s="13" t="s">
        <v>127</v>
      </c>
      <c r="I25" s="13" t="s">
        <v>128</v>
      </c>
      <c r="J25" s="13" t="s">
        <v>129</v>
      </c>
      <c r="K25" s="13" t="s">
        <v>229</v>
      </c>
    </row>
    <row r="26" spans="1:11" s="3" customFormat="1" ht="24" hidden="1" customHeight="1" x14ac:dyDescent="0.25">
      <c r="C26" s="14"/>
      <c r="D26" s="14"/>
      <c r="E26" s="14"/>
      <c r="F26" s="14"/>
      <c r="G26" s="14"/>
      <c r="H26" s="14"/>
      <c r="I26" s="14"/>
      <c r="J26" s="14"/>
      <c r="K26" s="14"/>
    </row>
    <row r="27" spans="1:11" s="3" customFormat="1" ht="24" customHeight="1" thickBot="1" x14ac:dyDescent="0.3">
      <c r="C27" s="14"/>
      <c r="D27" s="14"/>
      <c r="E27" s="14"/>
      <c r="F27" s="14"/>
      <c r="G27" s="14"/>
      <c r="H27" s="14"/>
      <c r="I27" s="14"/>
      <c r="J27" s="14"/>
      <c r="K27" s="14"/>
    </row>
    <row r="28" spans="1:11" ht="18.75" customHeight="1" x14ac:dyDescent="0.25">
      <c r="C28" s="8" t="s">
        <v>0</v>
      </c>
      <c r="D28" s="9" t="s">
        <v>1</v>
      </c>
      <c r="E28" s="9" t="s">
        <v>2</v>
      </c>
      <c r="F28" s="9" t="s">
        <v>3</v>
      </c>
      <c r="G28" s="9" t="s">
        <v>4</v>
      </c>
      <c r="H28" s="10" t="s">
        <v>8</v>
      </c>
      <c r="I28" s="10" t="s">
        <v>9</v>
      </c>
      <c r="J28" s="10" t="s">
        <v>10</v>
      </c>
      <c r="K28" s="10" t="s">
        <v>11</v>
      </c>
    </row>
    <row r="29" spans="1:11" ht="61.5" customHeight="1" x14ac:dyDescent="0.25">
      <c r="B29" s="24" t="s">
        <v>171</v>
      </c>
      <c r="C29" s="11" t="s">
        <v>131</v>
      </c>
      <c r="D29" s="12" t="s">
        <v>132</v>
      </c>
      <c r="E29" s="12" t="s">
        <v>133</v>
      </c>
      <c r="F29" s="12" t="s">
        <v>134</v>
      </c>
      <c r="G29" s="12" t="s">
        <v>135</v>
      </c>
      <c r="H29" s="13" t="s">
        <v>136</v>
      </c>
      <c r="I29" s="13" t="s">
        <v>137</v>
      </c>
      <c r="J29" s="13" t="s">
        <v>138</v>
      </c>
      <c r="K29" s="13" t="s">
        <v>229</v>
      </c>
    </row>
    <row r="30" spans="1:11" ht="61.5" customHeight="1" x14ac:dyDescent="0.25">
      <c r="A30" s="2"/>
      <c r="B30" s="24"/>
      <c r="C30" s="11" t="s">
        <v>139</v>
      </c>
      <c r="D30" s="12" t="s">
        <v>140</v>
      </c>
      <c r="E30" s="12" t="s">
        <v>141</v>
      </c>
      <c r="F30" s="12" t="s">
        <v>142</v>
      </c>
      <c r="G30" s="12" t="s">
        <v>143</v>
      </c>
      <c r="H30" s="13" t="s">
        <v>144</v>
      </c>
      <c r="I30" s="13" t="s">
        <v>145</v>
      </c>
      <c r="J30" s="13" t="s">
        <v>146</v>
      </c>
      <c r="K30" s="13" t="s">
        <v>229</v>
      </c>
    </row>
    <row r="31" spans="1:11" ht="61.5" customHeight="1" x14ac:dyDescent="0.25">
      <c r="A31" s="2"/>
      <c r="B31" s="24"/>
      <c r="C31" s="11" t="s">
        <v>147</v>
      </c>
      <c r="D31" s="12" t="s">
        <v>148</v>
      </c>
      <c r="E31" s="12" t="s">
        <v>149</v>
      </c>
      <c r="F31" s="12" t="s">
        <v>150</v>
      </c>
      <c r="G31" s="12" t="s">
        <v>151</v>
      </c>
      <c r="H31" s="13" t="s">
        <v>152</v>
      </c>
      <c r="I31" s="13" t="s">
        <v>153</v>
      </c>
      <c r="J31" s="13" t="s">
        <v>154</v>
      </c>
      <c r="K31" s="13" t="s">
        <v>229</v>
      </c>
    </row>
    <row r="32" spans="1:11" ht="61.5" customHeight="1" x14ac:dyDescent="0.25">
      <c r="A32" s="2"/>
      <c r="B32" s="24"/>
      <c r="C32" s="11" t="s">
        <v>155</v>
      </c>
      <c r="D32" s="12" t="s">
        <v>156</v>
      </c>
      <c r="E32" s="12" t="s">
        <v>157</v>
      </c>
      <c r="F32" s="12" t="s">
        <v>158</v>
      </c>
      <c r="G32" s="12" t="s">
        <v>159</v>
      </c>
      <c r="H32" s="13" t="s">
        <v>160</v>
      </c>
      <c r="I32" s="13" t="s">
        <v>161</v>
      </c>
      <c r="J32" s="13" t="s">
        <v>162</v>
      </c>
      <c r="K32" s="13" t="s">
        <v>229</v>
      </c>
    </row>
    <row r="33" spans="1:11" ht="61.5" customHeight="1" x14ac:dyDescent="0.25">
      <c r="A33" s="2"/>
      <c r="B33" s="24"/>
      <c r="C33" s="11" t="s">
        <v>163</v>
      </c>
      <c r="D33" s="12" t="s">
        <v>164</v>
      </c>
      <c r="E33" s="12" t="s">
        <v>165</v>
      </c>
      <c r="F33" s="12" t="s">
        <v>166</v>
      </c>
      <c r="G33" s="12" t="s">
        <v>167</v>
      </c>
      <c r="H33" s="13" t="s">
        <v>168</v>
      </c>
      <c r="I33" s="13" t="s">
        <v>169</v>
      </c>
      <c r="J33" s="13" t="s">
        <v>170</v>
      </c>
      <c r="K33" s="13" t="s">
        <v>229</v>
      </c>
    </row>
    <row r="35" spans="1:11" ht="15.75" thickBot="1" x14ac:dyDescent="0.3"/>
    <row r="36" spans="1:11" ht="18.75" customHeight="1" x14ac:dyDescent="0.25">
      <c r="C36" s="8" t="s">
        <v>0</v>
      </c>
      <c r="D36" s="9" t="s">
        <v>1</v>
      </c>
      <c r="E36" s="9" t="s">
        <v>2</v>
      </c>
      <c r="F36" s="9" t="s">
        <v>3</v>
      </c>
      <c r="G36" s="9" t="s">
        <v>4</v>
      </c>
      <c r="H36" s="10" t="s">
        <v>8</v>
      </c>
      <c r="I36" s="10" t="s">
        <v>9</v>
      </c>
      <c r="J36" s="10" t="s">
        <v>10</v>
      </c>
      <c r="K36" s="10" t="s">
        <v>11</v>
      </c>
    </row>
    <row r="37" spans="1:11" ht="61.5" customHeight="1" x14ac:dyDescent="0.25">
      <c r="B37" s="24" t="s">
        <v>172</v>
      </c>
      <c r="C37" s="11" t="s">
        <v>173</v>
      </c>
      <c r="D37" s="12" t="s">
        <v>174</v>
      </c>
      <c r="E37" s="12" t="s">
        <v>175</v>
      </c>
      <c r="F37" s="12" t="s">
        <v>176</v>
      </c>
      <c r="G37" s="12" t="s">
        <v>177</v>
      </c>
      <c r="H37" s="13" t="s">
        <v>178</v>
      </c>
      <c r="I37" s="13" t="s">
        <v>179</v>
      </c>
      <c r="J37" s="13" t="s">
        <v>180</v>
      </c>
      <c r="K37" s="13" t="s">
        <v>229</v>
      </c>
    </row>
    <row r="38" spans="1:11" ht="61.5" customHeight="1" x14ac:dyDescent="0.25">
      <c r="A38" s="2"/>
      <c r="B38" s="24"/>
      <c r="C38" s="11" t="s">
        <v>181</v>
      </c>
      <c r="D38" s="12" t="s">
        <v>182</v>
      </c>
      <c r="E38" s="12" t="s">
        <v>183</v>
      </c>
      <c r="F38" s="12" t="s">
        <v>184</v>
      </c>
      <c r="G38" s="12" t="s">
        <v>185</v>
      </c>
      <c r="H38" s="13" t="s">
        <v>186</v>
      </c>
      <c r="I38" s="13" t="s">
        <v>187</v>
      </c>
      <c r="J38" s="13" t="s">
        <v>188</v>
      </c>
      <c r="K38" s="13" t="s">
        <v>229</v>
      </c>
    </row>
    <row r="39" spans="1:11" ht="61.5" customHeight="1" x14ac:dyDescent="0.25">
      <c r="A39" s="2"/>
      <c r="B39" s="24"/>
      <c r="C39" s="11" t="s">
        <v>189</v>
      </c>
      <c r="D39" s="12" t="s">
        <v>190</v>
      </c>
      <c r="E39" s="12" t="s">
        <v>191</v>
      </c>
      <c r="F39" s="12" t="s">
        <v>192</v>
      </c>
      <c r="G39" s="12" t="s">
        <v>193</v>
      </c>
      <c r="H39" s="13" t="s">
        <v>194</v>
      </c>
      <c r="I39" s="13" t="s">
        <v>195</v>
      </c>
      <c r="J39" s="13" t="s">
        <v>196</v>
      </c>
      <c r="K39" s="13" t="s">
        <v>229</v>
      </c>
    </row>
    <row r="40" spans="1:11" ht="61.5" customHeight="1" x14ac:dyDescent="0.25">
      <c r="A40" s="2"/>
      <c r="B40" s="24"/>
      <c r="C40" s="11" t="s">
        <v>197</v>
      </c>
      <c r="D40" s="12" t="s">
        <v>198</v>
      </c>
      <c r="E40" s="12" t="s">
        <v>199</v>
      </c>
      <c r="F40" s="12" t="s">
        <v>200</v>
      </c>
      <c r="G40" s="12" t="s">
        <v>201</v>
      </c>
      <c r="H40" s="13" t="s">
        <v>202</v>
      </c>
      <c r="I40" s="13" t="s">
        <v>203</v>
      </c>
      <c r="J40" s="13" t="s">
        <v>204</v>
      </c>
      <c r="K40" s="13" t="s">
        <v>229</v>
      </c>
    </row>
    <row r="41" spans="1:11" ht="61.5" customHeight="1" x14ac:dyDescent="0.25">
      <c r="A41" s="2"/>
      <c r="B41" s="24"/>
      <c r="C41" s="11" t="s">
        <v>205</v>
      </c>
      <c r="D41" s="12" t="s">
        <v>206</v>
      </c>
      <c r="E41" s="12" t="s">
        <v>207</v>
      </c>
      <c r="F41" s="12" t="s">
        <v>208</v>
      </c>
      <c r="G41" s="12" t="s">
        <v>209</v>
      </c>
      <c r="H41" s="13" t="s">
        <v>210</v>
      </c>
      <c r="I41" s="13" t="s">
        <v>211</v>
      </c>
      <c r="J41" s="13" t="s">
        <v>212</v>
      </c>
      <c r="K41" s="13" t="s">
        <v>229</v>
      </c>
    </row>
  </sheetData>
  <mergeCells count="6">
    <mergeCell ref="A1:F1"/>
    <mergeCell ref="B6:B9"/>
    <mergeCell ref="B13:B17"/>
    <mergeCell ref="B21:B25"/>
    <mergeCell ref="B29:B33"/>
    <mergeCell ref="B37:B4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Y12"/>
  <sheetViews>
    <sheetView showGridLines="0" workbookViewId="0">
      <selection sqref="A1:H1"/>
    </sheetView>
  </sheetViews>
  <sheetFormatPr defaultRowHeight="15" x14ac:dyDescent="0.25"/>
  <cols>
    <col min="1" max="1" width="8.85546875" customWidth="1"/>
    <col min="2" max="2" width="48" style="4" customWidth="1"/>
    <col min="3" max="4" width="48" style="15" customWidth="1"/>
  </cols>
  <sheetData>
    <row r="1" spans="1:25" s="28" customFormat="1" ht="36" customHeight="1" x14ac:dyDescent="0.25">
      <c r="A1" s="25" t="s">
        <v>233</v>
      </c>
      <c r="B1" s="26"/>
      <c r="C1" s="26"/>
      <c r="D1" s="26"/>
      <c r="E1" s="26"/>
      <c r="F1" s="26"/>
      <c r="G1" s="26"/>
      <c r="H1" s="26"/>
      <c r="I1" s="29"/>
      <c r="J1" s="29"/>
      <c r="K1" s="29"/>
      <c r="L1" s="29"/>
      <c r="M1" s="29"/>
      <c r="N1" s="29"/>
      <c r="O1" s="29"/>
      <c r="P1" s="29"/>
      <c r="Q1" s="29"/>
      <c r="R1" s="29"/>
      <c r="S1" s="29"/>
      <c r="T1" s="29"/>
      <c r="U1" s="27"/>
      <c r="V1" s="27"/>
      <c r="W1" s="27"/>
      <c r="X1" s="27"/>
      <c r="Y1" s="27"/>
    </row>
    <row r="2" spans="1:25" ht="10.5" customHeight="1" thickBot="1" x14ac:dyDescent="0.3"/>
    <row r="3" spans="1:25" ht="18.75" customHeight="1" thickBot="1" x14ac:dyDescent="0.3">
      <c r="B3" s="33" t="s">
        <v>0</v>
      </c>
      <c r="C3" s="40" t="s">
        <v>5</v>
      </c>
      <c r="D3" s="40" t="s">
        <v>6</v>
      </c>
    </row>
    <row r="4" spans="1:25" s="20" customFormat="1" ht="81.75" customHeight="1" x14ac:dyDescent="0.2">
      <c r="B4" s="41" t="str">
        <f>'Perguntas e Respostas'!C6</f>
        <v>A empresa possui diretrizes estratégicas bem definidas e disseminadas por toda a empresa?</v>
      </c>
      <c r="C4" s="43" t="s">
        <v>23</v>
      </c>
      <c r="D4" s="41" t="str">
        <f>IF(C4="","CADASTRE ALGUMA RESPOSTA VÁLIDA",IF(C4='Perguntas e Respostas'!D6,'Perguntas e Respostas'!H6,IF(Estratégia!C4='Perguntas e Respostas'!E6,'Perguntas e Respostas'!I6,IF(Estratégia!C4='Perguntas e Respostas'!F6,'Perguntas e Respostas'!J6,'Perguntas e Respostas'!K6))))</f>
        <v>Ótimo! Empresa completa nesse quesito.</v>
      </c>
      <c r="E4" s="21" t="str">
        <f>IF(Estratégia!C4='Perguntas e Respostas'!D6,0,IF(Estratégia!C4='Perguntas e Respostas'!E6,1.66,IF(Estratégia!C4='Perguntas e Respostas'!F6,3.32,IF(Estratégia!C4='Perguntas e Respostas'!G6,5,""))))</f>
        <v/>
      </c>
    </row>
    <row r="5" spans="1:25" s="20" customFormat="1" ht="81.75" customHeight="1" x14ac:dyDescent="0.2">
      <c r="A5" s="22"/>
      <c r="B5" s="42" t="str">
        <f>'Perguntas e Respostas'!C7</f>
        <v>De que modo a empresa realiza seu planejamento estratégico?</v>
      </c>
      <c r="C5" s="44" t="s">
        <v>29</v>
      </c>
      <c r="D5" s="42" t="str">
        <f>IF(C5="","CADASTRE ALGUMA RESPOSTA VÁLIDA",IF(C5='Perguntas e Respostas'!D7,'Perguntas e Respostas'!H7,IF(Estratégia!C5='Perguntas e Respostas'!E7,'Perguntas e Respostas'!I7,IF(Estratégia!C5='Perguntas e Respostas'!F7,'Perguntas e Respostas'!J7,'Perguntas e Respostas'!K7))))</f>
        <v xml:space="preserve">Realize o seu planejamento estratégico formalmente e com periodicidade definida. </v>
      </c>
      <c r="E5" s="21">
        <f>IF(Estratégia!C5='Perguntas e Respostas'!D7,0,IF(Estratégia!C5='Perguntas e Respostas'!E7,1.66,IF(Estratégia!C5='Perguntas e Respostas'!F7,3.32,IF(Estratégia!C5='Perguntas e Respostas'!G7,5,""))))</f>
        <v>1.66</v>
      </c>
    </row>
    <row r="6" spans="1:25" s="20" customFormat="1" ht="81.75" customHeight="1" x14ac:dyDescent="0.2">
      <c r="A6" s="22"/>
      <c r="B6" s="42" t="str">
        <f>'Perguntas e Respostas'!C8</f>
        <v>A empresa utiliza métodos de análise de informações para formular suas estratégias?</v>
      </c>
      <c r="C6" s="44" t="s">
        <v>18</v>
      </c>
      <c r="D6" s="42" t="str">
        <f>IF(C6="","CADASTRE ALGUMA RESPOSTA VÁLIDA",IF(C6='Perguntas e Respostas'!D8,'Perguntas e Respostas'!H8,IF(Estratégia!C6='Perguntas e Respostas'!E8,'Perguntas e Respostas'!I8,IF(Estratégia!C6='Perguntas e Respostas'!F8,'Perguntas e Respostas'!J8,'Perguntas e Respostas'!K8))))</f>
        <v xml:space="preserve">Envolva os colaboradores na elaboração das análises interna e externa. </v>
      </c>
      <c r="E6" s="21">
        <f>IF(Estratégia!C6='Perguntas e Respostas'!D8,0,IF(Estratégia!C6='Perguntas e Respostas'!E8,1.66,IF(Estratégia!C6='Perguntas e Respostas'!F8,3.32,IF(Estratégia!C6='Perguntas e Respostas'!G8,5,""))))</f>
        <v>3.32</v>
      </c>
    </row>
    <row r="7" spans="1:25" s="20" customFormat="1" ht="81.75" customHeight="1" thickBot="1" x14ac:dyDescent="0.25">
      <c r="A7" s="22"/>
      <c r="B7" s="42" t="str">
        <f>'Perguntas e Respostas'!C9</f>
        <v>Como a empresa emprega os conceitos de responsabilidade sócio-empresarial?</v>
      </c>
      <c r="C7" s="44" t="s">
        <v>38</v>
      </c>
      <c r="D7" s="45" t="str">
        <f>IF(C7="","CADASTRE ALGUMA RESPOSTA VÁLIDA",IF(C7='Perguntas e Respostas'!D9,'Perguntas e Respostas'!H9,IF(Estratégia!C7='Perguntas e Respostas'!E9,'Perguntas e Respostas'!I9,IF(Estratégia!C7='Perguntas e Respostas'!F9,'Perguntas e Respostas'!J9,'Perguntas e Respostas'!K9))))</f>
        <v>Ótimo! Empresa completa nesse quesito.</v>
      </c>
      <c r="E7" s="21">
        <f>IF(Estratégia!C7='Perguntas e Respostas'!D9,0,IF(Estratégia!C7='Perguntas e Respostas'!E9,1.66,IF(Estratégia!C7='Perguntas e Respostas'!F9,3.32,IF(Estratégia!C7='Perguntas e Respostas'!G9,5,""))))</f>
        <v>5</v>
      </c>
    </row>
    <row r="8" spans="1:25" s="3" customFormat="1" ht="15.75" thickBot="1" x14ac:dyDescent="0.3">
      <c r="B8" s="5"/>
      <c r="C8" s="16"/>
      <c r="D8" s="40" t="s">
        <v>238</v>
      </c>
      <c r="E8" s="33">
        <f>SUM(E4:E7)</f>
        <v>9.98</v>
      </c>
    </row>
    <row r="9" spans="1:25" s="3" customFormat="1" x14ac:dyDescent="0.25">
      <c r="B9" s="5"/>
      <c r="C9" s="17"/>
      <c r="D9" s="16"/>
    </row>
    <row r="10" spans="1:25" s="3" customFormat="1" x14ac:dyDescent="0.25">
      <c r="B10" s="5"/>
      <c r="C10" s="17"/>
      <c r="D10" s="16"/>
    </row>
    <row r="11" spans="1:25" s="3" customFormat="1" x14ac:dyDescent="0.25">
      <c r="B11" s="5"/>
      <c r="C11" s="17"/>
      <c r="D11" s="16"/>
    </row>
    <row r="12" spans="1:25" x14ac:dyDescent="0.25">
      <c r="C12" s="17"/>
    </row>
  </sheetData>
  <mergeCells count="1">
    <mergeCell ref="A1:H1"/>
  </mergeCells>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'Perguntas e Respostas'!D6:G6</xm:f>
          </x14:formula1>
          <xm:sqref>C4:C7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Y12"/>
  <sheetViews>
    <sheetView showGridLines="0" workbookViewId="0">
      <selection sqref="A1:H1"/>
    </sheetView>
  </sheetViews>
  <sheetFormatPr defaultRowHeight="15" x14ac:dyDescent="0.25"/>
  <cols>
    <col min="1" max="1" width="8.85546875" customWidth="1"/>
    <col min="2" max="2" width="48" style="4" customWidth="1"/>
    <col min="3" max="4" width="48" style="15" customWidth="1"/>
  </cols>
  <sheetData>
    <row r="1" spans="1:25" s="28" customFormat="1" ht="36" customHeight="1" x14ac:dyDescent="0.25">
      <c r="A1" s="25" t="s">
        <v>234</v>
      </c>
      <c r="B1" s="26"/>
      <c r="C1" s="26"/>
      <c r="D1" s="26"/>
      <c r="E1" s="26"/>
      <c r="F1" s="26"/>
      <c r="G1" s="26"/>
      <c r="H1" s="26"/>
      <c r="I1" s="29"/>
      <c r="J1" s="29"/>
      <c r="K1" s="29"/>
      <c r="L1" s="29"/>
      <c r="M1" s="29"/>
      <c r="N1" s="29"/>
      <c r="O1" s="29"/>
      <c r="P1" s="29"/>
      <c r="Q1" s="29"/>
      <c r="R1" s="29"/>
      <c r="S1" s="29"/>
      <c r="T1" s="29"/>
      <c r="U1" s="27"/>
      <c r="V1" s="27"/>
      <c r="W1" s="27"/>
      <c r="X1" s="27"/>
      <c r="Y1" s="27"/>
    </row>
    <row r="2" spans="1:25" ht="10.5" customHeight="1" thickBot="1" x14ac:dyDescent="0.3"/>
    <row r="3" spans="1:25" ht="18.75" customHeight="1" thickBot="1" x14ac:dyDescent="0.3">
      <c r="B3" s="33" t="s">
        <v>0</v>
      </c>
      <c r="C3" s="40" t="s">
        <v>5</v>
      </c>
      <c r="D3" s="40" t="s">
        <v>6</v>
      </c>
    </row>
    <row r="4" spans="1:25" s="20" customFormat="1" ht="81.75" customHeight="1" x14ac:dyDescent="0.2">
      <c r="B4" s="41" t="str">
        <f>'Perguntas e Respostas'!C13</f>
        <v>A empresa realiza a gestão do seu fluxo de caixa?</v>
      </c>
      <c r="C4" s="43" t="s">
        <v>45</v>
      </c>
      <c r="D4" s="41" t="str">
        <f>IF(C4="","CADASTRE ALGUMA RESPOSTA VÁLIDA",IF(Finanças!C4='Perguntas e Respostas'!D13,'Perguntas e Respostas'!H13,IF(Finanças!C4='Perguntas e Respostas'!E13,'Perguntas e Respostas'!I13,IF(Finanças!C4='Perguntas e Respostas'!F13,'Perguntas e Respostas'!J13,IF(Finanças!C4='Perguntas e Respostas'!G13,'Perguntas e Respostas'!K13,"CADASTRE ALGUMA RESPOSTA")))))</f>
        <v xml:space="preserve">Realize projeções futuras do fluxo de caixa para antecipar-se a possíveis variações. </v>
      </c>
      <c r="E4" s="21">
        <f>IF(C4='Perguntas e Respostas'!D13,0,IF(C4='Perguntas e Respostas'!E13,1.66,IF(C4='Perguntas e Respostas'!F13,3.32,IF(C4='Perguntas e Respostas'!G13,5,""))))</f>
        <v>3.32</v>
      </c>
    </row>
    <row r="5" spans="1:25" s="20" customFormat="1" ht="81.75" customHeight="1" x14ac:dyDescent="0.2">
      <c r="A5" s="22"/>
      <c r="B5" s="42" t="str">
        <f>'Perguntas e Respostas'!C14</f>
        <v>A empresa possui planejamento e controle orçamentário?</v>
      </c>
      <c r="C5" s="44" t="s">
        <v>53</v>
      </c>
      <c r="D5" s="42" t="str">
        <f>IF(C5="","CADASTRE ALGUMA RESPOSTA VÁLIDA",IF(Finanças!C5='Perguntas e Respostas'!D14,'Perguntas e Respostas'!H14,IF(Finanças!C5='Perguntas e Respostas'!E14,'Perguntas e Respostas'!I14,IF(Finanças!C5='Perguntas e Respostas'!F14,'Perguntas e Respostas'!J14,IF(Finanças!C5='Perguntas e Respostas'!G14,'Perguntas e Respostas'!K14,"CADASTRE ALGUMA RESPOSTA")))))</f>
        <v xml:space="preserve">Analise o planejamento orçamentário como método para identificar melhorias. </v>
      </c>
      <c r="E5" s="21">
        <f>IF(C5='Perguntas e Respostas'!D14,0,IF(C5='Perguntas e Respostas'!E14,1.66,IF(C5='Perguntas e Respostas'!F14,3.32,IF(C5='Perguntas e Respostas'!G14,5,""))))</f>
        <v>3.32</v>
      </c>
    </row>
    <row r="6" spans="1:25" s="20" customFormat="1" ht="81.75" customHeight="1" x14ac:dyDescent="0.2">
      <c r="A6" s="22"/>
      <c r="B6" s="42" t="str">
        <f>'Perguntas e Respostas'!C15</f>
        <v>A empresa possui uma separação entre o que é dela e o que é do proprietário?</v>
      </c>
      <c r="C6" s="44" t="s">
        <v>59</v>
      </c>
      <c r="D6" s="42" t="str">
        <f>IF(C6="","CADASTRE ALGUMA RESPOSTA VÁLIDA",IF(Finanças!C6='Perguntas e Respostas'!D15,'Perguntas e Respostas'!H15,IF(Finanças!C6='Perguntas e Respostas'!E15,'Perguntas e Respostas'!I15,IF(Finanças!C6='Perguntas e Respostas'!F15,'Perguntas e Respostas'!J15,IF(Finanças!C6='Perguntas e Respostas'!G15,'Perguntas e Respostas'!K15,"CADASTRE ALGUMA RESPOSTA")))))</f>
        <v>Defina uma valor fixo para a retirada mensal dos sócios. A separação deve ser capaz de dizer qual o valor gasto mensalmente pelo proprietário com suas despesas individuais. Esse tipo de separação permite uma melhor visualização dos resultados do negócio e um planejamento para investimentos.</v>
      </c>
      <c r="E6" s="21">
        <f>IF(C6='Perguntas e Respostas'!D15,0,IF(C6='Perguntas e Respostas'!E15,1.66,IF(C6='Perguntas e Respostas'!F15,3.32,IF(C6='Perguntas e Respostas'!G15,5,""))))</f>
        <v>0</v>
      </c>
    </row>
    <row r="7" spans="1:25" s="20" customFormat="1" ht="81.75" customHeight="1" thickBot="1" x14ac:dyDescent="0.25">
      <c r="A7" s="22"/>
      <c r="B7" s="42" t="str">
        <f>'Perguntas e Respostas'!C16</f>
        <v>A empresa possui investimentos financeiros e capital de reserva?</v>
      </c>
      <c r="C7" s="44" t="s">
        <v>70</v>
      </c>
      <c r="D7" s="45" t="str">
        <f>IF(C7="","CADASTRE ALGUMA RESPOSTA VÁLIDA",IF(Finanças!C7='Perguntas e Respostas'!D16,'Perguntas e Respostas'!H16,IF(Finanças!C7='Perguntas e Respostas'!E16,'Perguntas e Respostas'!I16,IF(Finanças!C7='Perguntas e Respostas'!F16,'Perguntas e Respostas'!J16,IF(Finanças!C7='Perguntas e Respostas'!G16,'Perguntas e Respostas'!K16,"CADASTRE ALGUMA RESPOSTA")))))</f>
        <v>Ótimo! Empresa completa nesse quesito.</v>
      </c>
      <c r="E7" s="21">
        <f>IF(C7='Perguntas e Respostas'!D16,0,IF(C7='Perguntas e Respostas'!E16,1.66,IF(C7='Perguntas e Respostas'!F16,3.32,IF(C7='Perguntas e Respostas'!G16,5,""))))</f>
        <v>5</v>
      </c>
    </row>
    <row r="8" spans="1:25" s="3" customFormat="1" ht="15.75" thickBot="1" x14ac:dyDescent="0.3">
      <c r="B8" s="5"/>
      <c r="C8" s="16"/>
      <c r="D8" s="46" t="s">
        <v>238</v>
      </c>
      <c r="E8" s="47">
        <f>SUM(E4:E7)</f>
        <v>11.64</v>
      </c>
    </row>
    <row r="9" spans="1:25" s="3" customFormat="1" x14ac:dyDescent="0.25">
      <c r="B9" s="5"/>
      <c r="C9" s="17"/>
      <c r="D9" s="16"/>
    </row>
    <row r="10" spans="1:25" s="3" customFormat="1" x14ac:dyDescent="0.25">
      <c r="B10" s="5"/>
      <c r="C10" s="17"/>
      <c r="D10" s="16"/>
    </row>
    <row r="11" spans="1:25" s="3" customFormat="1" x14ac:dyDescent="0.25">
      <c r="B11" s="5"/>
      <c r="C11" s="17"/>
      <c r="D11" s="16"/>
    </row>
    <row r="12" spans="1:25" x14ac:dyDescent="0.25">
      <c r="C12" s="17"/>
    </row>
  </sheetData>
  <mergeCells count="1">
    <mergeCell ref="A1:H1"/>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'Perguntas e Respostas'!D13:G13</xm:f>
          </x14:formula1>
          <xm:sqref>C4:C7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Y12"/>
  <sheetViews>
    <sheetView showGridLines="0" workbookViewId="0">
      <selection sqref="A1:H1"/>
    </sheetView>
  </sheetViews>
  <sheetFormatPr defaultRowHeight="15" x14ac:dyDescent="0.25"/>
  <cols>
    <col min="1" max="1" width="8.85546875" customWidth="1"/>
    <col min="2" max="2" width="48" style="4" customWidth="1"/>
    <col min="3" max="4" width="48" style="15" customWidth="1"/>
  </cols>
  <sheetData>
    <row r="1" spans="1:25" s="28" customFormat="1" ht="36" customHeight="1" x14ac:dyDescent="0.25">
      <c r="A1" s="25" t="s">
        <v>235</v>
      </c>
      <c r="B1" s="26"/>
      <c r="C1" s="26"/>
      <c r="D1" s="26"/>
      <c r="E1" s="26"/>
      <c r="F1" s="26"/>
      <c r="G1" s="26"/>
      <c r="H1" s="26"/>
      <c r="I1" s="29"/>
      <c r="J1" s="29"/>
      <c r="K1" s="29"/>
      <c r="L1" s="29"/>
      <c r="M1" s="29"/>
      <c r="N1" s="29"/>
      <c r="O1" s="29"/>
      <c r="P1" s="29"/>
      <c r="Q1" s="29"/>
      <c r="R1" s="29"/>
      <c r="S1" s="29"/>
      <c r="T1" s="29"/>
      <c r="U1" s="27"/>
      <c r="V1" s="27"/>
      <c r="W1" s="27"/>
      <c r="X1" s="27"/>
      <c r="Y1" s="27"/>
    </row>
    <row r="2" spans="1:25" ht="10.5" customHeight="1" thickBot="1" x14ac:dyDescent="0.3"/>
    <row r="3" spans="1:25" ht="18.75" customHeight="1" x14ac:dyDescent="0.25">
      <c r="B3" s="37" t="s">
        <v>0</v>
      </c>
      <c r="C3" s="39" t="s">
        <v>5</v>
      </c>
      <c r="D3" s="39" t="s">
        <v>6</v>
      </c>
    </row>
    <row r="4" spans="1:25" s="20" customFormat="1" ht="38.25" x14ac:dyDescent="0.2">
      <c r="B4" s="42" t="str">
        <f>'Perguntas e Respostas'!C21</f>
        <v>A empresa possui uma identidade visual e comunica sua marca?</v>
      </c>
      <c r="C4" s="44" t="s">
        <v>93</v>
      </c>
      <c r="D4" s="42" t="str">
        <f>IF(Marketing!C4='Perguntas e Respostas'!D21,'Perguntas e Respostas'!H21,IF(Marketing!C4='Perguntas e Respostas'!E21,'Perguntas e Respostas'!I21,IF(Marketing!C4='Perguntas e Respostas'!F21,'Perguntas e Respostas'!J21,IF(Marketing!C4='Perguntas e Respostas'!G21,'Perguntas e Respostas'!K21,"CADASTRE ALGUMA RESPOSTA"))))</f>
        <v xml:space="preserve">Insira a identidade visual em seus materiais, preocupando-se para que ela seja condizente com a imagem que quer passar para o publico alvo. </v>
      </c>
      <c r="E4" s="21">
        <f>IF(C4='Perguntas e Respostas'!D21,0,IF(C4='Perguntas e Respostas'!E21,1.66,IF(C4='Perguntas e Respostas'!F21,3.32,IF(C4='Perguntas e Respostas'!G21,5,""))))</f>
        <v>3.32</v>
      </c>
    </row>
    <row r="5" spans="1:25" s="20" customFormat="1" ht="114.75" x14ac:dyDescent="0.2">
      <c r="A5" s="22"/>
      <c r="B5" s="42" t="str">
        <f>'Perguntas e Respostas'!C22</f>
        <v>A empresa está presente na internet?</v>
      </c>
      <c r="C5" s="44" t="s">
        <v>100</v>
      </c>
      <c r="D5" s="42" t="str">
        <f>IF(Marketing!C5='Perguntas e Respostas'!D22,'Perguntas e Respostas'!H22,IF(Marketing!C5='Perguntas e Respostas'!E22,'Perguntas e Respostas'!I22,IF(Marketing!C5='Perguntas e Respostas'!F22,'Perguntas e Respostas'!J22,IF(Marketing!C5='Perguntas e Respostas'!G22,'Perguntas e Respostas'!K22,"CADASTRE ALGUMA RESPOSTA"))))</f>
        <v xml:space="preserve">Atualize o website e o utilize como meio de comunicação (área de notícias, e-mail marketing ou blog) para se promover e se relacionar com seus clientes. Vale lembrar que o blog, que ofereça conteúdo relevante a seu cliente e é uma ferramenta que pode ser muito útil na comunicação com eles, porque possui é mais segmentado, tem fluxo de acessos mais sólido, é uma pesquisa de mercado viva, além de fazer sua equipe se atualizar. </v>
      </c>
      <c r="E5" s="21">
        <f>IF(C5='Perguntas e Respostas'!D22,0,IF(C5='Perguntas e Respostas'!E22,1.66,IF(C5='Perguntas e Respostas'!F22,3.32,IF(C5='Perguntas e Respostas'!G22,5,""))))</f>
        <v>1.66</v>
      </c>
    </row>
    <row r="6" spans="1:25" s="20" customFormat="1" ht="63.75" x14ac:dyDescent="0.2">
      <c r="A6" s="22"/>
      <c r="B6" s="42" t="str">
        <f>'Perguntas e Respostas'!C23</f>
        <v>A empresa tem seu segmento definido e se divulga de maneira focada?</v>
      </c>
      <c r="C6" s="44" t="s">
        <v>108</v>
      </c>
      <c r="D6" s="42" t="str">
        <f>IF(Marketing!C6='Perguntas e Respostas'!D23,'Perguntas e Respostas'!H23,IF(Marketing!C6='Perguntas e Respostas'!E23,'Perguntas e Respostas'!I23,IF(Marketing!C6='Perguntas e Respostas'!F23,'Perguntas e Respostas'!J23,IF(Marketing!C6='Perguntas e Respostas'!G23,'Perguntas e Respostas'!K23,"CADASTRE ALGUMA RESPOSTA"))))</f>
        <v>Realize ações direcionadas aos seus clientes-foco, utilizando-se dos canais corretos. Por isso, após segmentar seu público-alvo estude cada um dos segmentos e descubra quais mídias e ações os atingiram com maior eficiência.</v>
      </c>
      <c r="E6" s="21">
        <f>IF(C6='Perguntas e Respostas'!D23,0,IF(C6='Perguntas e Respostas'!E23,1.66,IF(C6='Perguntas e Respostas'!F23,3.32,IF(C6='Perguntas e Respostas'!G23,5,""))))</f>
        <v>1.66</v>
      </c>
    </row>
    <row r="7" spans="1:25" s="20" customFormat="1" ht="26.25" thickBot="1" x14ac:dyDescent="0.25">
      <c r="A7" s="22"/>
      <c r="B7" s="42" t="str">
        <f>'Perguntas e Respostas'!C24</f>
        <v>A empresa realiza ações para aumentar seu número de clientes?</v>
      </c>
      <c r="C7" s="44" t="s">
        <v>118</v>
      </c>
      <c r="D7" s="45" t="str">
        <f>IF(Marketing!C7='Perguntas e Respostas'!D24,'Perguntas e Respostas'!H24,IF(Marketing!C7='Perguntas e Respostas'!E24,'Perguntas e Respostas'!I24,IF(Marketing!C7='Perguntas e Respostas'!F24,'Perguntas e Respostas'!J24,IF(Marketing!C7='Perguntas e Respostas'!G24,'Perguntas e Respostas'!K24,"CADASTRE ALGUMA RESPOSTA"))))</f>
        <v>Ótimo! Empresa completa nesse quesito.</v>
      </c>
      <c r="E7" s="21">
        <f>IF(C7='Perguntas e Respostas'!D24,0,IF(C7='Perguntas e Respostas'!E24,1.66,IF(C7='Perguntas e Respostas'!F24,3.32,IF(C7='Perguntas e Respostas'!G24,5,""))))</f>
        <v>5</v>
      </c>
    </row>
    <row r="8" spans="1:25" s="3" customFormat="1" ht="15.75" thickBot="1" x14ac:dyDescent="0.3">
      <c r="B8" s="5"/>
      <c r="C8" s="16"/>
      <c r="D8" s="46" t="s">
        <v>238</v>
      </c>
      <c r="E8" s="47">
        <f>SUM(E4:E7)</f>
        <v>11.64</v>
      </c>
    </row>
    <row r="9" spans="1:25" s="3" customFormat="1" x14ac:dyDescent="0.25">
      <c r="B9" s="5"/>
      <c r="C9" s="17"/>
      <c r="D9" s="16"/>
    </row>
    <row r="10" spans="1:25" s="3" customFormat="1" x14ac:dyDescent="0.25">
      <c r="B10" s="5"/>
      <c r="C10" s="17"/>
      <c r="D10" s="16"/>
    </row>
    <row r="11" spans="1:25" s="3" customFormat="1" x14ac:dyDescent="0.25">
      <c r="B11" s="5"/>
      <c r="C11" s="17"/>
      <c r="D11" s="16"/>
    </row>
    <row r="12" spans="1:25" x14ac:dyDescent="0.25">
      <c r="C12" s="17"/>
    </row>
  </sheetData>
  <mergeCells count="1">
    <mergeCell ref="A1:H1"/>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'Perguntas e Respostas'!D21:G21</xm:f>
          </x14:formula1>
          <xm:sqref>C4:C7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Y12"/>
  <sheetViews>
    <sheetView showGridLines="0" workbookViewId="0">
      <selection sqref="A1:H1"/>
    </sheetView>
  </sheetViews>
  <sheetFormatPr defaultRowHeight="15" x14ac:dyDescent="0.25"/>
  <cols>
    <col min="1" max="1" width="8.85546875" customWidth="1"/>
    <col min="2" max="2" width="48" style="4" customWidth="1"/>
    <col min="3" max="4" width="48" style="15" customWidth="1"/>
  </cols>
  <sheetData>
    <row r="1" spans="1:25" s="28" customFormat="1" ht="36" customHeight="1" x14ac:dyDescent="0.25">
      <c r="A1" s="25" t="s">
        <v>236</v>
      </c>
      <c r="B1" s="26"/>
      <c r="C1" s="26"/>
      <c r="D1" s="26"/>
      <c r="E1" s="26"/>
      <c r="F1" s="26"/>
      <c r="G1" s="26"/>
      <c r="H1" s="26"/>
      <c r="I1" s="29"/>
      <c r="J1" s="29"/>
      <c r="K1" s="29"/>
      <c r="L1" s="29"/>
      <c r="M1" s="29"/>
      <c r="N1" s="29"/>
      <c r="O1" s="29"/>
      <c r="P1" s="29"/>
      <c r="Q1" s="29"/>
      <c r="R1" s="29"/>
      <c r="S1" s="29"/>
      <c r="T1" s="29"/>
      <c r="U1" s="27"/>
      <c r="V1" s="27"/>
      <c r="W1" s="27"/>
      <c r="X1" s="27"/>
      <c r="Y1" s="27"/>
    </row>
    <row r="2" spans="1:25" ht="10.5" customHeight="1" thickBot="1" x14ac:dyDescent="0.3"/>
    <row r="3" spans="1:25" ht="18.75" customHeight="1" x14ac:dyDescent="0.25">
      <c r="B3" s="37" t="s">
        <v>0</v>
      </c>
      <c r="C3" s="39" t="s">
        <v>5</v>
      </c>
      <c r="D3" s="39" t="s">
        <v>6</v>
      </c>
    </row>
    <row r="4" spans="1:25" s="20" customFormat="1" ht="114.75" x14ac:dyDescent="0.2">
      <c r="B4" s="42" t="str">
        <f>'Perguntas e Respostas'!C29</f>
        <v>A empresa compreende seus processos de negócios e os registra?</v>
      </c>
      <c r="C4" s="44" t="s">
        <v>134</v>
      </c>
      <c r="D4" s="42" t="str">
        <f>IF(Operações!C4='Perguntas e Respostas'!D29,'Perguntas e Respostas'!H29,IF(Operações!C4='Perguntas e Respostas'!E29,'Perguntas e Respostas'!I29,IF(Operações!C4='Perguntas e Respostas'!F29,'Perguntas e Respostas'!J29,IF(Operações!C4='Perguntas e Respostas'!G29,'Perguntas e Respostas'!K29,"CADASTRE ALGUMA RESPOSTA"))))</f>
        <v xml:space="preserve">Busque melhorias em redução de tempo e custos envolvidos nos processos. Melhoria contínua é o conjunto de atividades planejadas através das quais todas as partes da organização objetivam aumentar a satisfação do cliente, tanto para os clientes internos quanto externos. Demonstra que os esforços de melhoria da concorrência são constantes e que as expectativas dos clientes estão aumentando. É preciso melhorar se quisermos manter a parcela de mercado. </v>
      </c>
      <c r="E4" s="21">
        <f>IF(C4='Perguntas e Respostas'!D29,0,IF(C4='Perguntas e Respostas'!E29,1.66,IF(C4='Perguntas e Respostas'!F29,3.32,IF(C4='Perguntas e Respostas'!G29,5,""))))</f>
        <v>3.32</v>
      </c>
    </row>
    <row r="5" spans="1:25" s="20" customFormat="1" ht="25.5" x14ac:dyDescent="0.2">
      <c r="A5" s="22"/>
      <c r="B5" s="42" t="str">
        <f>'Perguntas e Respostas'!C30</f>
        <v>A empresa possui políticas para a escolha e relacionamento de seus fornecedores?</v>
      </c>
      <c r="C5" s="44" t="s">
        <v>143</v>
      </c>
      <c r="D5" s="42" t="str">
        <f>IF(Operações!C5='Perguntas e Respostas'!D30,'Perguntas e Respostas'!H30,IF(Operações!C5='Perguntas e Respostas'!E30,'Perguntas e Respostas'!I30,IF(Operações!C5='Perguntas e Respostas'!F30,'Perguntas e Respostas'!J30,IF(Operações!C5='Perguntas e Respostas'!G30,'Perguntas e Respostas'!K30,"CADASTRE ALGUMA RESPOSTA"))))</f>
        <v>Ótimo! Empresa completa nesse quesito.</v>
      </c>
      <c r="E5" s="21">
        <f>IF(C5='Perguntas e Respostas'!D30,0,IF(C5='Perguntas e Respostas'!E30,1.66,IF(C5='Perguntas e Respostas'!F30,3.32,IF(C5='Perguntas e Respostas'!G30,5,""))))</f>
        <v>5</v>
      </c>
    </row>
    <row r="6" spans="1:25" s="20" customFormat="1" ht="63.75" x14ac:dyDescent="0.2">
      <c r="A6" s="22"/>
      <c r="B6" s="42" t="str">
        <f>'Perguntas e Respostas'!C31</f>
        <v>A empresa faz uso da tecnologia em seus processos?</v>
      </c>
      <c r="C6" s="44" t="s">
        <v>148</v>
      </c>
      <c r="D6" s="42" t="str">
        <f>IF(Operações!C6='Perguntas e Respostas'!D31,'Perguntas e Respostas'!H31,IF(Operações!C6='Perguntas e Respostas'!E31,'Perguntas e Respostas'!I31,IF(Operações!C6='Perguntas e Respostas'!F31,'Perguntas e Respostas'!J31,IF(Operações!C6='Perguntas e Respostas'!G31,'Perguntas e Respostas'!K31,"CADASTRE ALGUMA RESPOSTA"))))</f>
        <v xml:space="preserve">É importante usar a tecnologia a favor da melhoria de seus processos. Um primeiro passo é utilizar email próprio e compartilhado para colaboradores, pois isto além de uniformizar o endereço de email,  facilita a comunicação entre os funcionários. </v>
      </c>
      <c r="E6" s="21">
        <f>IF(C6='Perguntas e Respostas'!D31,0,IF(C6='Perguntas e Respostas'!E31,1.66,IF(C6='Perguntas e Respostas'!F31,3.32,IF(C6='Perguntas e Respostas'!G31,5,""))))</f>
        <v>0</v>
      </c>
    </row>
    <row r="7" spans="1:25" s="20" customFormat="1" ht="26.25" thickBot="1" x14ac:dyDescent="0.25">
      <c r="A7" s="22"/>
      <c r="B7" s="42" t="str">
        <f>'Perguntas e Respostas'!C32</f>
        <v>A empresa tem controle sobre seu estoque?</v>
      </c>
      <c r="C7" s="44" t="s">
        <v>159</v>
      </c>
      <c r="D7" s="45" t="str">
        <f>IF(Operações!C7='Perguntas e Respostas'!D32,'Perguntas e Respostas'!H32,IF(Operações!C7='Perguntas e Respostas'!E32,'Perguntas e Respostas'!I32,IF(Operações!C7='Perguntas e Respostas'!F32,'Perguntas e Respostas'!J32,IF(Operações!C7='Perguntas e Respostas'!G32,'Perguntas e Respostas'!K32,"CADASTRE ALGUMA RESPOSTA"))))</f>
        <v>Ótimo! Empresa completa nesse quesito.</v>
      </c>
      <c r="E7" s="21">
        <f>IF(C7='Perguntas e Respostas'!D32,0,IF(C7='Perguntas e Respostas'!E32,1.66,IF(C7='Perguntas e Respostas'!F32,3.32,IF(C7='Perguntas e Respostas'!G32,5,""))))</f>
        <v>5</v>
      </c>
    </row>
    <row r="8" spans="1:25" s="3" customFormat="1" ht="15.75" thickBot="1" x14ac:dyDescent="0.3">
      <c r="B8" s="5"/>
      <c r="C8" s="16"/>
      <c r="D8" s="40" t="s">
        <v>238</v>
      </c>
      <c r="E8" s="48">
        <f>SUM(E4:E7)</f>
        <v>13.32</v>
      </c>
    </row>
    <row r="9" spans="1:25" s="3" customFormat="1" x14ac:dyDescent="0.25">
      <c r="B9" s="5"/>
      <c r="C9" s="17"/>
      <c r="D9" s="16"/>
    </row>
    <row r="10" spans="1:25" s="3" customFormat="1" x14ac:dyDescent="0.25">
      <c r="B10" s="5"/>
      <c r="C10" s="17"/>
      <c r="D10" s="16"/>
    </row>
    <row r="11" spans="1:25" s="3" customFormat="1" x14ac:dyDescent="0.25">
      <c r="B11" s="5"/>
      <c r="C11" s="17"/>
      <c r="D11" s="16"/>
    </row>
    <row r="12" spans="1:25" x14ac:dyDescent="0.25">
      <c r="C12" s="17"/>
    </row>
  </sheetData>
  <mergeCells count="1">
    <mergeCell ref="A1:H1"/>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'Perguntas e Respostas'!D29:G29</xm:f>
          </x14:formula1>
          <xm:sqref>C4:C7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Y12"/>
  <sheetViews>
    <sheetView showGridLines="0" zoomScaleNormal="100" workbookViewId="0">
      <selection sqref="A1:H1"/>
    </sheetView>
  </sheetViews>
  <sheetFormatPr defaultRowHeight="15" x14ac:dyDescent="0.25"/>
  <cols>
    <col min="1" max="1" width="8.85546875" customWidth="1"/>
    <col min="2" max="2" width="48" style="4" customWidth="1"/>
    <col min="3" max="4" width="48" style="15" customWidth="1"/>
  </cols>
  <sheetData>
    <row r="1" spans="1:25" s="28" customFormat="1" ht="36" customHeight="1" x14ac:dyDescent="0.25">
      <c r="A1" s="25" t="s">
        <v>237</v>
      </c>
      <c r="B1" s="26"/>
      <c r="C1" s="26"/>
      <c r="D1" s="26"/>
      <c r="E1" s="26"/>
      <c r="F1" s="26"/>
      <c r="G1" s="26"/>
      <c r="H1" s="26"/>
      <c r="I1" s="29"/>
      <c r="J1" s="29"/>
      <c r="K1" s="29"/>
      <c r="L1" s="29"/>
      <c r="M1" s="29"/>
      <c r="N1" s="29"/>
      <c r="O1" s="29"/>
      <c r="P1" s="29"/>
      <c r="Q1" s="29"/>
      <c r="R1" s="29"/>
      <c r="S1" s="29"/>
      <c r="T1" s="29"/>
      <c r="U1" s="27"/>
      <c r="V1" s="27"/>
      <c r="W1" s="27"/>
      <c r="X1" s="27"/>
      <c r="Y1" s="27"/>
    </row>
    <row r="2" spans="1:25" ht="10.5" customHeight="1" thickBot="1" x14ac:dyDescent="0.3"/>
    <row r="3" spans="1:25" ht="18.75" customHeight="1" x14ac:dyDescent="0.25">
      <c r="B3" s="37" t="s">
        <v>0</v>
      </c>
      <c r="C3" s="39" t="s">
        <v>5</v>
      </c>
      <c r="D3" s="39" t="s">
        <v>6</v>
      </c>
    </row>
    <row r="4" spans="1:25" s="20" customFormat="1" ht="127.5" x14ac:dyDescent="0.2">
      <c r="B4" s="42" t="str">
        <f>'Perguntas e Respostas'!C37</f>
        <v>Como é feita a comunicação interna dentro da empresa?</v>
      </c>
      <c r="C4" s="44" t="s">
        <v>175</v>
      </c>
      <c r="D4" s="42" t="str">
        <f>IF('Recursos Humanos'!C4='Perguntas e Respostas'!D37,'Perguntas e Respostas'!H37,IF('Recursos Humanos'!C4='Perguntas e Respostas'!E37,'Perguntas e Respostas'!I37,IF('Recursos Humanos'!C4='Perguntas e Respostas'!F37,'Perguntas e Respostas'!J37,IF('Recursos Humanos'!C4='Perguntas e Respostas'!G37,'Perguntas e Respostas'!K37,"CADASTRE ALGUMA RESPOSTA"))))</f>
        <v>Crie um quadro/mural para postar comunicados e reforçar as diretrizes estratégicas. Um quadro ou mural é uma ótima ferramenta de comunicação. Nele você pode colocar as metas, diretrizes, definição da cultura da empresa, resultados apurados no último período, ou seja, tudo que você deseja comunicar aos seus colaboradores. Mas, se decidir por usar esta ferramenta não deixe de atualizá-la e trabalhe as informações de forma criativa, para que seus funcionários tenham interesse em olhar as informações ali colocadas.</v>
      </c>
      <c r="E4" s="21">
        <f>IF(C4='Perguntas e Respostas'!D37,0,IF(C4='Perguntas e Respostas'!E37,1.66,IF(C4='Perguntas e Respostas'!F37,3.32,IF(C4='Perguntas e Respostas'!G37,5,""))))</f>
        <v>1.66</v>
      </c>
    </row>
    <row r="5" spans="1:25" s="20" customFormat="1" ht="76.5" x14ac:dyDescent="0.2">
      <c r="A5" s="22"/>
      <c r="B5" s="42" t="str">
        <f>'Perguntas e Respostas'!C38</f>
        <v>Como é feita a definição dos cargos e a avaliação dos salários distribuídos?</v>
      </c>
      <c r="C5" s="44" t="s">
        <v>183</v>
      </c>
      <c r="D5" s="42" t="str">
        <f>IF('Recursos Humanos'!C5='Perguntas e Respostas'!D38,'Perguntas e Respostas'!H38,IF('Recursos Humanos'!C5='Perguntas e Respostas'!E38,'Perguntas e Respostas'!I38,IF('Recursos Humanos'!C5='Perguntas e Respostas'!F38,'Perguntas e Respostas'!J38,IF('Recursos Humanos'!C5='Perguntas e Respostas'!G38,'Perguntas e Respostas'!K38,"CADASTRE ALGUMA RESPOSTA"))))</f>
        <v xml:space="preserve">Registre as funções esperadas de cada cargo. Crie um manual de cada cargo e deixe este material disponível para seus funcionários. Cada novo funcionário deve ser instruído nas suas funções conforme descrito no manual, isso padronizará o exercício das funções dentro da empresa. </v>
      </c>
      <c r="E5" s="21">
        <f>IF(C5='Perguntas e Respostas'!D38,0,IF(C5='Perguntas e Respostas'!E38,1.66,IF(C5='Perguntas e Respostas'!F38,3.32,IF(C5='Perguntas e Respostas'!G38,5,""))))</f>
        <v>1.66</v>
      </c>
    </row>
    <row r="6" spans="1:25" s="20" customFormat="1" ht="63.75" x14ac:dyDescent="0.2">
      <c r="A6" s="22"/>
      <c r="B6" s="42" t="str">
        <f>'Perguntas e Respostas'!C39</f>
        <v>Como são estrututradas as políticas de reconhecimento e incentivo dos funcionários?</v>
      </c>
      <c r="C6" s="44" t="s">
        <v>190</v>
      </c>
      <c r="D6" s="42" t="str">
        <f>IF('Recursos Humanos'!C6='Perguntas e Respostas'!D39,'Perguntas e Respostas'!H39,IF('Recursos Humanos'!C6='Perguntas e Respostas'!E39,'Perguntas e Respostas'!I39,IF('Recursos Humanos'!C6='Perguntas e Respostas'!F39,'Perguntas e Respostas'!J39,IF('Recursos Humanos'!C6='Perguntas e Respostas'!G39,'Perguntas e Respostas'!K39,"CADASTRE ALGUMA RESPOSTA"))))</f>
        <v xml:space="preserve">Implemente reconhecimentos e incentivos para a equipe de vendas. Para incentivar sua equipe de vendas você deve implementar uma política de incentivos, essa deve estar condizente com os critérios de avaliação e com os resultados esperados. </v>
      </c>
      <c r="E6" s="21">
        <f>IF(C6='Perguntas e Respostas'!D39,0,IF(C6='Perguntas e Respostas'!E39,1.66,IF(C6='Perguntas e Respostas'!F39,3.32,IF(C6='Perguntas e Respostas'!G39,5,""))))</f>
        <v>0</v>
      </c>
    </row>
    <row r="7" spans="1:25" s="20" customFormat="1" ht="90" thickBot="1" x14ac:dyDescent="0.25">
      <c r="A7" s="22"/>
      <c r="B7" s="42" t="str">
        <f>'Perguntas e Respostas'!C40</f>
        <v>Como são feitas as avaliações de desempenho dos funcionários?</v>
      </c>
      <c r="C7" s="44" t="s">
        <v>200</v>
      </c>
      <c r="D7" s="45" t="str">
        <f>IF('Recursos Humanos'!C7='Perguntas e Respostas'!D40,'Perguntas e Respostas'!H40,IF('Recursos Humanos'!C7='Perguntas e Respostas'!E40,'Perguntas e Respostas'!I40,IF('Recursos Humanos'!C7='Perguntas e Respostas'!F40,'Perguntas e Respostas'!J40,IF('Recursos Humanos'!C7='Perguntas e Respostas'!G40,'Perguntas e Respostas'!K40,"CADASTRE ALGUMA RESPOSTA"))))</f>
        <v>Cruze os dados da avaliação de desempenho com uma pesquisa de clima organizacional. O clima organizacional pode contribuir muito para o melhor desempenho dos seus funcionários, por isso é importante avaliar qual a percepção do cliente interno sobre a organização por meio de uma pesquisa de clima organizacional.</v>
      </c>
      <c r="E7" s="21">
        <f>IF(C7='Perguntas e Respostas'!D40,0,IF(C7='Perguntas e Respostas'!E40,1.66,IF(C7='Perguntas e Respostas'!F40,3.32,IF(C7='Perguntas e Respostas'!G40,5,""))))</f>
        <v>3.32</v>
      </c>
    </row>
    <row r="8" spans="1:25" s="3" customFormat="1" ht="15.75" thickBot="1" x14ac:dyDescent="0.3">
      <c r="B8" s="5"/>
      <c r="C8" s="16"/>
      <c r="D8" s="40" t="s">
        <v>238</v>
      </c>
      <c r="E8" s="48">
        <f>SUM(E4:E7)</f>
        <v>6.64</v>
      </c>
    </row>
    <row r="9" spans="1:25" s="3" customFormat="1" x14ac:dyDescent="0.25">
      <c r="B9" s="5"/>
      <c r="C9" s="17"/>
      <c r="D9" s="16"/>
    </row>
    <row r="10" spans="1:25" s="3" customFormat="1" x14ac:dyDescent="0.25">
      <c r="B10" s="5"/>
      <c r="C10" s="17"/>
      <c r="D10" s="16"/>
    </row>
    <row r="11" spans="1:25" s="3" customFormat="1" x14ac:dyDescent="0.25">
      <c r="B11" s="5"/>
      <c r="C11" s="17"/>
      <c r="D11" s="16"/>
    </row>
    <row r="12" spans="1:25" x14ac:dyDescent="0.25">
      <c r="C12" s="17"/>
    </row>
  </sheetData>
  <mergeCells count="1">
    <mergeCell ref="A1:H1"/>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'Perguntas e Respostas'!D37:G37</xm:f>
          </x14:formula1>
          <xm:sqref>C4:C7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Y12"/>
  <sheetViews>
    <sheetView showGridLines="0" zoomScaleNormal="100" workbookViewId="0">
      <selection sqref="A1:S1"/>
    </sheetView>
  </sheetViews>
  <sheetFormatPr defaultRowHeight="15" x14ac:dyDescent="0.25"/>
  <cols>
    <col min="2" max="2" width="35" style="3" customWidth="1"/>
    <col min="3" max="5" width="9.140625" style="3"/>
    <col min="6" max="6" width="15.42578125" style="3" bestFit="1" customWidth="1"/>
    <col min="8" max="8" width="1" customWidth="1"/>
    <col min="11" max="11" width="1" customWidth="1"/>
  </cols>
  <sheetData>
    <row r="1" spans="1:25" s="28" customFormat="1" ht="36" customHeight="1" x14ac:dyDescent="0.25">
      <c r="A1" s="25" t="s">
        <v>237</v>
      </c>
      <c r="B1" s="26"/>
      <c r="C1" s="26"/>
      <c r="D1" s="26"/>
      <c r="E1" s="26"/>
      <c r="F1" s="26"/>
      <c r="G1" s="26"/>
      <c r="H1" s="26"/>
      <c r="I1" s="26"/>
      <c r="J1" s="26"/>
      <c r="K1" s="26"/>
      <c r="L1" s="26"/>
      <c r="M1" s="26"/>
      <c r="N1" s="26"/>
      <c r="O1" s="26"/>
      <c r="P1" s="26"/>
      <c r="Q1" s="26"/>
      <c r="R1" s="26"/>
      <c r="S1" s="26"/>
      <c r="T1" s="29"/>
      <c r="U1" s="27"/>
      <c r="V1" s="27"/>
      <c r="W1" s="27"/>
      <c r="X1" s="27"/>
      <c r="Y1" s="27"/>
    </row>
    <row r="2" spans="1:25" ht="51" customHeight="1" x14ac:dyDescent="0.25">
      <c r="B2" s="21"/>
      <c r="F2" s="6"/>
    </row>
    <row r="3" spans="1:25" x14ac:dyDescent="0.25">
      <c r="D3" s="49" t="s">
        <v>221</v>
      </c>
      <c r="E3" s="49"/>
      <c r="F3" s="49"/>
      <c r="G3" s="49"/>
      <c r="L3" s="51" t="str">
        <f>Cadastro!C10</f>
        <v>Nível 3- Existem processos gerenciais formais, no entanto eles são aplicados de maneira descoordenada para gerar os resultados esperados</v>
      </c>
      <c r="M3" s="52"/>
      <c r="N3" s="52"/>
      <c r="O3" s="52"/>
      <c r="P3" s="52"/>
      <c r="Q3" s="52"/>
      <c r="R3" s="52"/>
      <c r="S3" s="52"/>
      <c r="T3" s="52"/>
      <c r="U3" s="52"/>
      <c r="V3" s="52"/>
      <c r="W3" s="52"/>
      <c r="X3" s="52"/>
      <c r="Y3" s="52"/>
    </row>
    <row r="4" spans="1:25" x14ac:dyDescent="0.25">
      <c r="D4" s="49"/>
      <c r="E4" s="49"/>
      <c r="F4" s="49"/>
      <c r="G4" s="49"/>
      <c r="I4" s="50">
        <f>Cadastro!C9</f>
        <v>53.220000000000006</v>
      </c>
      <c r="J4" s="49"/>
      <c r="L4" s="52"/>
      <c r="M4" s="52"/>
      <c r="N4" s="52"/>
      <c r="O4" s="52"/>
      <c r="P4" s="52"/>
      <c r="Q4" s="52"/>
      <c r="R4" s="52"/>
      <c r="S4" s="52"/>
      <c r="T4" s="52"/>
      <c r="U4" s="52"/>
      <c r="V4" s="52"/>
      <c r="W4" s="52"/>
      <c r="X4" s="52"/>
      <c r="Y4" s="52"/>
    </row>
    <row r="5" spans="1:25" x14ac:dyDescent="0.25">
      <c r="D5" s="49"/>
      <c r="E5" s="49"/>
      <c r="F5" s="49"/>
      <c r="G5" s="49"/>
      <c r="I5" s="49"/>
      <c r="J5" s="49"/>
      <c r="L5" s="52"/>
      <c r="M5" s="52"/>
      <c r="N5" s="52"/>
      <c r="O5" s="52"/>
      <c r="P5" s="52"/>
      <c r="Q5" s="52"/>
      <c r="R5" s="52"/>
      <c r="S5" s="52"/>
      <c r="T5" s="52"/>
      <c r="U5" s="52"/>
      <c r="V5" s="52"/>
      <c r="W5" s="52"/>
      <c r="X5" s="52"/>
      <c r="Y5" s="52"/>
    </row>
    <row r="6" spans="1:25" x14ac:dyDescent="0.25">
      <c r="D6" s="49"/>
      <c r="E6" s="49"/>
      <c r="F6" s="49"/>
      <c r="G6" s="49"/>
      <c r="L6" s="52"/>
      <c r="M6" s="52"/>
      <c r="N6" s="52"/>
      <c r="O6" s="52"/>
      <c r="P6" s="52"/>
      <c r="Q6" s="52"/>
      <c r="R6" s="52"/>
      <c r="S6" s="52"/>
      <c r="T6" s="52"/>
      <c r="U6" s="52"/>
      <c r="V6" s="52"/>
      <c r="W6" s="52"/>
      <c r="X6" s="52"/>
      <c r="Y6" s="52"/>
    </row>
    <row r="8" spans="1:25" s="3" customFormat="1" x14ac:dyDescent="0.25">
      <c r="D8" s="3" t="s">
        <v>239</v>
      </c>
      <c r="E8" s="19">
        <f>100-I4</f>
        <v>46.779999999999994</v>
      </c>
      <c r="F8" s="54">
        <f>E8/100</f>
        <v>0.46779999999999994</v>
      </c>
      <c r="G8" s="53"/>
    </row>
    <row r="9" spans="1:25" s="3" customFormat="1" x14ac:dyDescent="0.25">
      <c r="D9" s="3" t="s">
        <v>223</v>
      </c>
      <c r="E9" s="19">
        <f>I4</f>
        <v>53.220000000000006</v>
      </c>
      <c r="F9" s="54">
        <f>E9/100</f>
        <v>0.53220000000000001</v>
      </c>
    </row>
    <row r="10" spans="1:25" x14ac:dyDescent="0.25">
      <c r="C10" s="23"/>
      <c r="D10" s="23"/>
      <c r="E10" s="23"/>
      <c r="F10" s="23"/>
    </row>
    <row r="11" spans="1:25" x14ac:dyDescent="0.25">
      <c r="C11" s="23"/>
      <c r="D11" s="23"/>
      <c r="E11" s="23"/>
      <c r="F11" s="23"/>
    </row>
    <row r="12" spans="1:25" x14ac:dyDescent="0.25">
      <c r="C12" s="23"/>
      <c r="D12" s="23"/>
      <c r="E12" s="23"/>
      <c r="F12" s="23"/>
    </row>
  </sheetData>
  <mergeCells count="4">
    <mergeCell ref="D3:G6"/>
    <mergeCell ref="I4:J5"/>
    <mergeCell ref="L3:Y6"/>
    <mergeCell ref="A1:S1"/>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174BF8F48870D49A65DA3EA907CAB8D" ma:contentTypeVersion="15" ma:contentTypeDescription="Crie um novo documento." ma:contentTypeScope="" ma:versionID="16b8cf75427b99ea2715904b2468d5fd">
  <xsd:schema xmlns:xsd="http://www.w3.org/2001/XMLSchema" xmlns:xs="http://www.w3.org/2001/XMLSchema" xmlns:p="http://schemas.microsoft.com/office/2006/metadata/properties" xmlns:ns2="cbb4d7a3-5c07-4bf5-b85d-bc2391539529" xmlns:ns3="e91dcd25-9560-4825-b4a9-3ba743c0900f" targetNamespace="http://schemas.microsoft.com/office/2006/metadata/properties" ma:root="true" ma:fieldsID="2ebbcff35b93358a01f36b805339c662" ns2:_="" ns3:_="">
    <xsd:import namespace="cbb4d7a3-5c07-4bf5-b85d-bc2391539529"/>
    <xsd:import namespace="e91dcd25-9560-4825-b4a9-3ba743c0900f"/>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b4d7a3-5c07-4bf5-b85d-bc23915395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Marcações de imagem" ma:readOnly="false" ma:fieldId="{5cf76f15-5ced-4ddc-b409-7134ff3c332f}" ma:taxonomyMulti="true" ma:sspId="0d179948-fc24-43cd-a33f-e8da3cc9aed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91dcd25-9560-4825-b4a9-3ba743c0900f" elementFormDefault="qualified">
    <xsd:import namespace="http://schemas.microsoft.com/office/2006/documentManagement/types"/>
    <xsd:import namespace="http://schemas.microsoft.com/office/infopath/2007/PartnerControls"/>
    <xsd:element name="SharedWithUsers" ma:index="13"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hes de Compartilhado Com" ma:internalName="SharedWithDetails" ma:readOnly="true">
      <xsd:simpleType>
        <xsd:restriction base="dms:Note">
          <xsd:maxLength value="255"/>
        </xsd:restriction>
      </xsd:simpleType>
    </xsd:element>
    <xsd:element name="TaxCatchAll" ma:index="19" nillable="true" ma:displayName="Taxonomy Catch All Column" ma:hidden="true" ma:list="{af2c0bf4-c5c5-43da-b4ca-2dde7dcde375}" ma:internalName="TaxCatchAll" ma:showField="CatchAllData" ma:web="e91dcd25-9560-4825-b4a9-3ba743c0900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936520-3B37-4D10-B00E-8634E50132C0}"/>
</file>

<file path=customXml/itemProps2.xml><?xml version="1.0" encoding="utf-8"?>
<ds:datastoreItem xmlns:ds="http://schemas.openxmlformats.org/officeDocument/2006/customXml" ds:itemID="{A3E0A1ED-84A3-42BE-A13E-FA3E56F5D05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Início</vt:lpstr>
      <vt:lpstr>Cadastro</vt:lpstr>
      <vt:lpstr>Perguntas e Respostas</vt:lpstr>
      <vt:lpstr>Estratégia</vt:lpstr>
      <vt:lpstr>Finanças</vt:lpstr>
      <vt:lpstr>Marketing</vt:lpstr>
      <vt:lpstr>Operações</vt:lpstr>
      <vt:lpstr>Recursos Humanos</vt:lpstr>
      <vt:lpstr>Panorama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Acelere.vc</dc:creator>
  <cp:lastModifiedBy>Pedro</cp:lastModifiedBy>
  <dcterms:created xsi:type="dcterms:W3CDTF">2013-11-09T12:17:33Z</dcterms:created>
  <dcterms:modified xsi:type="dcterms:W3CDTF">2014-07-22T14:15:04Z</dcterms:modified>
</cp:coreProperties>
</file>